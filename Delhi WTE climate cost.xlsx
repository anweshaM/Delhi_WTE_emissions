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5"/>
    <sheet state="visible" name="final_plantwise" sheetId="2" r:id="rId6"/>
  </sheets>
  <definedNames/>
  <calcPr/>
</workbook>
</file>

<file path=xl/sharedStrings.xml><?xml version="1.0" encoding="utf-8"?>
<sst xmlns="http://schemas.openxmlformats.org/spreadsheetml/2006/main" count="244" uniqueCount="98">
  <si>
    <t xml:space="preserve">WTE plant --&gt; </t>
  </si>
  <si>
    <t>Tehkhand</t>
  </si>
  <si>
    <t>Okhla</t>
  </si>
  <si>
    <t>Bawana</t>
  </si>
  <si>
    <t>Ghazipur</t>
  </si>
  <si>
    <t>PW category</t>
  </si>
  <si>
    <t>Processing capacity</t>
  </si>
  <si>
    <t>Quantity of plastic</t>
  </si>
  <si>
    <t>[Mg waste/y]</t>
  </si>
  <si>
    <t>Constants</t>
  </si>
  <si>
    <t>Plastic waste</t>
  </si>
  <si>
    <t>Exhaust gas volume [Nm3/Mg waste]</t>
  </si>
  <si>
    <t>Quarterly avg. TPD (actual)</t>
  </si>
  <si>
    <t>Total MSW</t>
  </si>
  <si>
    <t>tonne</t>
  </si>
  <si>
    <t>Yearly total MSW with 0.7 RDF factor</t>
  </si>
  <si>
    <t>Mg, total plastic burnt</t>
  </si>
  <si>
    <t>Total RDF</t>
  </si>
  <si>
    <t>Electricity per ton of RDF</t>
  </si>
  <si>
    <t>MWh/tonne</t>
  </si>
  <si>
    <t>Yealy total MSW with 0.7 RDF factor</t>
  </si>
  <si>
    <t>Max TPD</t>
  </si>
  <si>
    <t>Oxidation factor</t>
  </si>
  <si>
    <t>Fossil fraction incinerated</t>
  </si>
  <si>
    <t>plastic/RDF</t>
  </si>
  <si>
    <t>Electricity per ton of MSW</t>
  </si>
  <si>
    <t>Mg, RDF burnt</t>
  </si>
  <si>
    <t>EF fossil</t>
  </si>
  <si>
    <t>Component</t>
  </si>
  <si>
    <t>GWP (100 yrs)</t>
  </si>
  <si>
    <t>Emission conc.</t>
  </si>
  <si>
    <t>Total emission</t>
  </si>
  <si>
    <t>CO2 equivalent</t>
  </si>
  <si>
    <t>corr</t>
  </si>
  <si>
    <t>Total emission per component + auxiliary fuel [Mg/y]</t>
  </si>
  <si>
    <t>Total emission per component (CO2 equivalent) [Mg CO2/y]</t>
  </si>
  <si>
    <t>Emission factor</t>
  </si>
  <si>
    <t>Total emission corr</t>
  </si>
  <si>
    <t>Total emission CO2e</t>
  </si>
  <si>
    <t>[Mg CO2/Mg X]</t>
  </si>
  <si>
    <t>[Mg*1e-9/m3]</t>
  </si>
  <si>
    <t>[Mg/y]</t>
  </si>
  <si>
    <t>[Mg CO2/y]</t>
  </si>
  <si>
    <t>[mg/kWh]</t>
  </si>
  <si>
    <t>CO2</t>
  </si>
  <si>
    <t>N2O</t>
  </si>
  <si>
    <t>CO</t>
  </si>
  <si>
    <t>NOx</t>
  </si>
  <si>
    <t>NH3</t>
  </si>
  <si>
    <t>NMVOC</t>
  </si>
  <si>
    <t>Sum over components</t>
  </si>
  <si>
    <t>Mg CO2/y</t>
  </si>
  <si>
    <t>kg CO2/kWh</t>
  </si>
  <si>
    <t xml:space="preserve">Avg </t>
  </si>
  <si>
    <t>without corr...</t>
  </si>
  <si>
    <t>Avg. kg CO2/kWh</t>
  </si>
  <si>
    <t>:et's take the average out of the three reliable ones...</t>
  </si>
  <si>
    <t>Year 2023</t>
  </si>
  <si>
    <t>Estimated gross electricity generated in a year</t>
  </si>
  <si>
    <t>MWh</t>
  </si>
  <si>
    <t>Estimated auxillary consumption in a year</t>
  </si>
  <si>
    <t>Estimated net electricity exported</t>
  </si>
  <si>
    <t>Total plastics burnt in 2023</t>
  </si>
  <si>
    <t>Mg</t>
  </si>
  <si>
    <t>kg CO2/kg waste</t>
  </si>
  <si>
    <t>Total waste burnt in 2023</t>
  </si>
  <si>
    <t xml:space="preserve">Total CO2 emissions (fossil-origin) </t>
  </si>
  <si>
    <t>Mg CO2</t>
  </si>
  <si>
    <t>CO2 emissions per kWh</t>
  </si>
  <si>
    <t>Electricity generated in a year</t>
  </si>
  <si>
    <t>Adding auxillary emissions</t>
  </si>
  <si>
    <t>1 tonne waste: 2-4 L diesel oil</t>
  </si>
  <si>
    <t>1 L diesel oil emits 3.2 kg CO2</t>
  </si>
  <si>
    <t>2L [kg CO2]</t>
  </si>
  <si>
    <t>4L [kg CO2]</t>
  </si>
  <si>
    <t>kWh/kg MSW</t>
  </si>
  <si>
    <t>(excluding 15% for auxillary consumption)</t>
  </si>
  <si>
    <t>For total MSW</t>
  </si>
  <si>
    <t>kg CO2</t>
  </si>
  <si>
    <t>Average (3L used)</t>
  </si>
  <si>
    <t>WTE plant</t>
  </si>
  <si>
    <t>Evidence basis</t>
  </si>
  <si>
    <t>Observed exported GWh</t>
  </si>
  <si>
    <t>Total GWh/year</t>
  </si>
  <si>
    <t>Rated capacity (MW)</t>
  </si>
  <si>
    <t>Derived plant load factor</t>
  </si>
  <si>
    <t>Confidence</t>
  </si>
  <si>
    <t>Estimated gross electricity GWh</t>
  </si>
  <si>
    <t>Full FY2022-23 DISCOM purchases</t>
  </si>
  <si>
    <t>High</t>
  </si>
  <si>
    <t>76.65% DISCOM allocation scaled to 100%</t>
  </si>
  <si>
    <t>Medium</t>
  </si>
  <si>
    <t>Jan-Mar purchases annualised</t>
  </si>
  <si>
    <t>Low</t>
  </si>
  <si>
    <t>Jun-Aug generation annualised</t>
  </si>
  <si>
    <t>Observed GWh</t>
  </si>
  <si>
    <t>Total emission, corr</t>
  </si>
  <si>
    <t>Total CO2-e emission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</si>
</sst>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8.0"/>
      <color theme="1"/>
      <name val="Arial"/>
      <scheme val="minor"/>
    </font>
    <font>
      <b/>
      <color rgb="FFFF0000"/>
      <name val="Arial"/>
      <scheme val="minor"/>
    </font>
    <font>
      <b/>
      <sz val="11.0"/>
      <color theme="1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3" fillId="5" fontId="1" numFmtId="0" xfId="0" applyAlignment="1" applyBorder="1" applyFill="1" applyFont="1">
      <alignment horizontal="center" readingOrder="0"/>
    </xf>
    <xf borderId="0" fillId="0" fontId="1" numFmtId="0" xfId="0" applyFont="1"/>
    <xf borderId="4" fillId="0" fontId="1" numFmtId="0" xfId="0" applyBorder="1" applyFont="1"/>
    <xf borderId="4" fillId="0" fontId="1" numFmtId="0" xfId="0" applyAlignment="1" applyBorder="1" applyFont="1">
      <alignment readingOrder="0"/>
    </xf>
    <xf borderId="4" fillId="2" fontId="1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readingOrder="0"/>
    </xf>
    <xf borderId="4" fillId="3" fontId="1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5" fillId="5" fontId="1" numFmtId="0" xfId="0" applyAlignment="1" applyBorder="1" applyFill="1" applyFont="1">
      <alignment readingOrder="0"/>
    </xf>
    <xf borderId="0" fillId="2" fontId="1" numFmtId="0" xfId="0" applyAlignment="1" applyFill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6" fillId="0" fontId="1" numFmtId="0" xfId="0" applyBorder="1" applyFont="1"/>
    <xf borderId="0" fillId="3" fontId="1" numFmtId="0" xfId="0" applyAlignment="1" applyFill="1" applyFont="1">
      <alignment readingOrder="0"/>
    </xf>
    <xf borderId="6" fillId="2" fontId="1" numFmtId="0" xfId="0" applyAlignment="1" applyBorder="1" applyFill="1" applyFont="1">
      <alignment readingOrder="0"/>
    </xf>
    <xf borderId="8" fillId="2" fontId="1" numFmtId="0" xfId="0" applyAlignment="1" applyBorder="1" applyFill="1" applyFont="1">
      <alignment readingOrder="0"/>
    </xf>
    <xf borderId="6" fillId="3" fontId="1" numFmtId="0" xfId="0" applyAlignment="1" applyBorder="1" applyFill="1" applyFont="1">
      <alignment readingOrder="0"/>
    </xf>
    <xf borderId="8" fillId="3" fontId="1" numFmtId="0" xfId="0" applyAlignment="1" applyBorder="1" applyFill="1" applyFont="1">
      <alignment readingOrder="0"/>
    </xf>
    <xf borderId="0" fillId="4" fontId="1" numFmtId="0" xfId="0" applyAlignment="1" applyFill="1" applyFont="1">
      <alignment readingOrder="0"/>
    </xf>
    <xf borderId="6" fillId="4" fontId="1" numFmtId="0" xfId="0" applyAlignment="1" applyBorder="1" applyFill="1" applyFont="1">
      <alignment readingOrder="0"/>
    </xf>
    <xf borderId="8" fillId="4" fontId="1" numFmtId="0" xfId="0" applyAlignment="1" applyBorder="1" applyFill="1" applyFont="1">
      <alignment readingOrder="0"/>
    </xf>
    <xf borderId="7" fillId="5" fontId="1" numFmtId="0" xfId="0" applyAlignment="1" applyBorder="1" applyFill="1" applyFont="1">
      <alignment readingOrder="0"/>
    </xf>
    <xf borderId="8" fillId="5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readingOrder="0"/>
    </xf>
    <xf borderId="9" fillId="0" fontId="1" numFmtId="0" xfId="0" applyAlignment="1" applyBorder="1" applyFont="1">
      <alignment readingOrder="0"/>
    </xf>
    <xf borderId="10" fillId="0" fontId="3" numFmtId="0" xfId="0" applyAlignment="1" applyBorder="1" applyFont="1">
      <alignment readingOrder="0"/>
    </xf>
    <xf borderId="10" fillId="0" fontId="3" numFmtId="0" xfId="0" applyBorder="1" applyFont="1"/>
    <xf borderId="9" fillId="2" fontId="3" numFmtId="0" xfId="0" applyAlignment="1" applyBorder="1" applyFill="1" applyFont="1">
      <alignment readingOrder="0"/>
    </xf>
    <xf borderId="11" fillId="2" fontId="3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readingOrder="0"/>
    </xf>
    <xf borderId="11" fillId="3" fontId="3" numFmtId="0" xfId="0" applyAlignment="1" applyBorder="1" applyFill="1" applyFont="1">
      <alignment readingOrder="0"/>
    </xf>
    <xf borderId="9" fillId="4" fontId="3" numFmtId="0" xfId="0" applyAlignment="1" applyBorder="1" applyFill="1" applyFont="1">
      <alignment readingOrder="0"/>
    </xf>
    <xf borderId="11" fillId="4" fontId="3" numFmtId="0" xfId="0" applyAlignment="1" applyBorder="1" applyFill="1" applyFont="1">
      <alignment readingOrder="0"/>
    </xf>
    <xf borderId="10" fillId="5" fontId="3" numFmtId="0" xfId="0" applyAlignment="1" applyBorder="1" applyFill="1" applyFont="1">
      <alignment readingOrder="0"/>
    </xf>
    <xf borderId="11" fillId="5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7" fillId="2" fontId="1" numFmtId="0" xfId="0" applyAlignment="1" applyBorder="1" applyFill="1" applyFont="1">
      <alignment readingOrder="0"/>
    </xf>
    <xf borderId="4" fillId="2" fontId="3" numFmtId="0" xfId="0" applyAlignment="1" applyBorder="1" applyFill="1" applyFont="1">
      <alignment readingOrder="0"/>
    </xf>
    <xf borderId="5" fillId="2" fontId="3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/>
    </xf>
    <xf borderId="7" fillId="3" fontId="1" numFmtId="0" xfId="0" applyAlignment="1" applyBorder="1" applyFill="1" applyFont="1">
      <alignment readingOrder="0"/>
    </xf>
    <xf borderId="5" fillId="3" fontId="3" numFmtId="0" xfId="0" applyAlignment="1" applyBorder="1" applyFill="1" applyFont="1">
      <alignment readingOrder="0"/>
    </xf>
    <xf borderId="4" fillId="4" fontId="3" numFmtId="0" xfId="0" applyAlignment="1" applyBorder="1" applyFill="1" applyFont="1">
      <alignment readingOrder="0"/>
    </xf>
    <xf borderId="5" fillId="4" fontId="3" numFmtId="0" xfId="0" applyAlignment="1" applyBorder="1" applyFill="1" applyFont="1">
      <alignment readingOrder="0"/>
    </xf>
    <xf borderId="0" fillId="5" fontId="3" numFmtId="0" xfId="0" applyFill="1" applyFont="1"/>
    <xf borderId="7" fillId="4" fontId="1" numFmtId="0" xfId="0" applyAlignment="1" applyBorder="1" applyFill="1" applyFont="1">
      <alignment readingOrder="0"/>
    </xf>
    <xf borderId="5" fillId="5" fontId="3" numFmtId="0" xfId="0" applyBorder="1" applyFill="1" applyFont="1"/>
    <xf borderId="7" fillId="0" fontId="3" numFmtId="0" xfId="0" applyAlignment="1" applyBorder="1" applyFont="1">
      <alignment readingOrder="0"/>
    </xf>
    <xf borderId="7" fillId="0" fontId="3" numFmtId="0" xfId="0" applyBorder="1" applyFont="1"/>
    <xf borderId="6" fillId="2" fontId="3" numFmtId="0" xfId="0" applyAlignment="1" applyBorder="1" applyFill="1" applyFont="1">
      <alignment readingOrder="0"/>
    </xf>
    <xf borderId="8" fillId="2" fontId="3" numFmtId="0" xfId="0" applyAlignment="1" applyBorder="1" applyFill="1" applyFont="1">
      <alignment readingOrder="0"/>
    </xf>
    <xf borderId="6" fillId="3" fontId="3" numFmtId="0" xfId="0" applyAlignment="1" applyBorder="1" applyFill="1" applyFont="1">
      <alignment readingOrder="0"/>
    </xf>
    <xf borderId="8" fillId="3" fontId="3" numFmtId="0" xfId="0" applyAlignment="1" applyBorder="1" applyFill="1" applyFont="1">
      <alignment readingOrder="0"/>
    </xf>
    <xf borderId="6" fillId="4" fontId="3" numFmtId="0" xfId="0" applyAlignment="1" applyBorder="1" applyFill="1" applyFont="1">
      <alignment readingOrder="0"/>
    </xf>
    <xf borderId="8" fillId="4" fontId="3" numFmtId="0" xfId="0" applyAlignment="1" applyBorder="1" applyFill="1" applyFont="1">
      <alignment readingOrder="0"/>
    </xf>
    <xf borderId="7" fillId="5" fontId="3" numFmtId="0" xfId="0" applyAlignment="1" applyBorder="1" applyFill="1" applyFont="1">
      <alignment readingOrder="0"/>
    </xf>
    <xf borderId="8" fillId="5" fontId="3" numFmtId="0" xfId="0" applyAlignment="1" applyBorder="1" applyFill="1" applyFont="1">
      <alignment readingOrder="0"/>
    </xf>
    <xf borderId="10" fillId="2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2" fillId="6" fontId="1" numFmtId="0" xfId="0" applyAlignment="1" applyBorder="1" applyFill="1" applyFont="1">
      <alignment readingOrder="0"/>
    </xf>
    <xf borderId="10" fillId="3" fontId="3" numFmtId="0" xfId="0" applyAlignment="1" applyBorder="1" applyFill="1" applyFont="1">
      <alignment readingOrder="0"/>
    </xf>
    <xf borderId="12" fillId="6" fontId="3" numFmtId="0" xfId="0" applyBorder="1" applyFill="1" applyFont="1"/>
    <xf borderId="10" fillId="4" fontId="3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0" fillId="5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1" fillId="2" fontId="3" numFmtId="0" xfId="0" applyBorder="1" applyFill="1" applyFont="1"/>
    <xf borderId="2" fillId="2" fontId="3" numFmtId="0" xfId="0" applyBorder="1" applyFill="1" applyFont="1"/>
    <xf borderId="7" fillId="2" fontId="3" numFmtId="0" xfId="0" applyAlignment="1" applyBorder="1" applyFill="1" applyFont="1">
      <alignment readingOrder="0"/>
    </xf>
    <xf borderId="1" fillId="3" fontId="3" numFmtId="0" xfId="0" applyBorder="1" applyFill="1" applyFont="1"/>
    <xf borderId="2" fillId="3" fontId="3" numFmtId="0" xfId="0" applyBorder="1" applyFill="1" applyFont="1"/>
    <xf borderId="7" fillId="3" fontId="3" numFmtId="0" xfId="0" applyAlignment="1" applyBorder="1" applyFill="1" applyFont="1">
      <alignment readingOrder="0"/>
    </xf>
    <xf borderId="1" fillId="4" fontId="3" numFmtId="0" xfId="0" applyBorder="1" applyFill="1" applyFont="1"/>
    <xf borderId="2" fillId="4" fontId="3" numFmtId="0" xfId="0" applyBorder="1" applyFill="1" applyFont="1"/>
    <xf borderId="7" fillId="4" fontId="3" numFmtId="0" xfId="0" applyAlignment="1" applyBorder="1" applyFill="1" applyFont="1">
      <alignment readingOrder="0"/>
    </xf>
    <xf borderId="3" fillId="5" fontId="3" numFmtId="0" xfId="0" applyBorder="1" applyFill="1" applyFont="1"/>
    <xf borderId="2" fillId="5" fontId="3" numFmtId="0" xfId="0" applyBorder="1" applyFill="1" applyFont="1"/>
    <xf borderId="12" fillId="6" fontId="1" numFmtId="0" xfId="0" applyAlignment="1" applyBorder="1" applyFill="1" applyFont="1">
      <alignment readingOrder="0" shrinkToFit="0" wrapText="1"/>
    </xf>
    <xf borderId="12" fillId="6" fontId="3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5" fillId="2" fontId="3" numFmtId="0" xfId="0" applyBorder="1" applyFill="1" applyFont="1"/>
    <xf borderId="5" fillId="3" fontId="3" numFmtId="0" xfId="0" applyBorder="1" applyFill="1" applyFont="1"/>
    <xf borderId="5" fillId="4" fontId="3" numFmtId="0" xfId="0" applyBorder="1" applyFill="1" applyFont="1"/>
    <xf borderId="3" fillId="2" fontId="3" numFmtId="0" xfId="0" applyBorder="1" applyFill="1" applyFont="1"/>
    <xf borderId="0" fillId="0" fontId="3" numFmtId="0" xfId="0" applyFont="1"/>
    <xf borderId="3" fillId="3" fontId="3" numFmtId="0" xfId="0" applyBorder="1" applyFill="1" applyFont="1"/>
    <xf borderId="12" fillId="6" fontId="3" numFmtId="0" xfId="0" applyAlignment="1" applyBorder="1" applyFill="1" applyFont="1">
      <alignment horizontal="center" readingOrder="0"/>
    </xf>
    <xf borderId="3" fillId="4" fontId="3" numFmtId="0" xfId="0" applyBorder="1" applyFill="1" applyFont="1"/>
    <xf borderId="4" fillId="3" fontId="3" numFmtId="0" xfId="0" applyBorder="1" applyFill="1" applyFont="1"/>
    <xf borderId="4" fillId="4" fontId="3" numFmtId="0" xfId="0" applyBorder="1" applyFill="1" applyFont="1"/>
    <xf borderId="0" fillId="2" fontId="3" numFmtId="0" xfId="0" applyFill="1" applyFont="1"/>
    <xf borderId="0" fillId="0" fontId="3" numFmtId="0" xfId="0" applyAlignment="1" applyFont="1">
      <alignment readingOrder="0" shrinkToFit="0" wrapText="1"/>
    </xf>
    <xf borderId="0" fillId="3" fontId="3" numFmtId="0" xfId="0" applyFill="1" applyFont="1"/>
    <xf borderId="0" fillId="4" fontId="3" numFmtId="0" xfId="0" applyFill="1" applyFont="1"/>
    <xf borderId="12" fillId="6" fontId="1" numFmtId="0" xfId="0" applyBorder="1" applyFill="1" applyFont="1"/>
    <xf borderId="5" fillId="3" fontId="1" numFmtId="0" xfId="0" applyBorder="1" applyFill="1" applyFont="1"/>
    <xf borderId="5" fillId="4" fontId="1" numFmtId="0" xfId="0" applyBorder="1" applyFill="1" applyFont="1"/>
    <xf borderId="5" fillId="5" fontId="1" numFmtId="0" xfId="0" applyBorder="1" applyFill="1" applyFont="1"/>
    <xf borderId="0" fillId="0" fontId="4" numFmtId="0" xfId="0" applyAlignment="1" applyFont="1">
      <alignment readingOrder="0" shrinkToFit="0" wrapText="1"/>
    </xf>
    <xf borderId="12" fillId="0" fontId="1" numFmtId="0" xfId="0" applyAlignment="1" applyBorder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1" fillId="2" fontId="3" numFmtId="0" xfId="0" applyAlignment="1" applyBorder="1" applyFill="1" applyFont="1">
      <alignment readingOrder="0"/>
    </xf>
    <xf borderId="2" fillId="2" fontId="1" numFmtId="0" xfId="0" applyAlignment="1" applyBorder="1" applyFill="1" applyFont="1">
      <alignment readingOrder="0"/>
    </xf>
    <xf borderId="3" fillId="3" fontId="3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readingOrder="0"/>
    </xf>
    <xf borderId="2" fillId="4" fontId="1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3" fillId="5" fontId="3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2" fillId="5" fontId="1" numFmtId="0" xfId="0" applyAlignment="1" applyBorder="1" applyFill="1" applyFont="1">
      <alignment readingOrder="0"/>
    </xf>
    <xf borderId="5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2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2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2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12" fillId="5" fontId="1" numFmtId="0" xfId="0" applyAlignment="1" applyBorder="1" applyFill="1" applyFont="1">
      <alignment readingOrder="0"/>
    </xf>
    <xf borderId="11" fillId="0" fontId="4" numFmtId="0" xfId="0" applyAlignment="1" applyBorder="1" applyFont="1">
      <alignment readingOrder="0" shrinkToFit="0" wrapText="1"/>
    </xf>
    <xf borderId="13" fillId="0" fontId="4" numFmtId="0" xfId="0" applyAlignment="1" applyBorder="1" applyFont="1">
      <alignment readingOrder="0" shrinkToFit="0" wrapText="1"/>
    </xf>
    <xf borderId="12" fillId="2" fontId="3" numFmtId="0" xfId="0" applyBorder="1" applyFill="1" applyFont="1"/>
    <xf borderId="12" fillId="3" fontId="3" numFmtId="0" xfId="0" applyBorder="1" applyFill="1" applyFont="1"/>
    <xf borderId="12" fillId="4" fontId="3" numFmtId="0" xfId="0" applyBorder="1" applyFill="1" applyFont="1"/>
    <xf borderId="5" fillId="0" fontId="2" numFmtId="0" xfId="0" applyBorder="1" applyFont="1"/>
    <xf borderId="14" fillId="0" fontId="2" numFmtId="0" xfId="0" applyBorder="1" applyFont="1"/>
    <xf borderId="13" fillId="0" fontId="1" numFmtId="0" xfId="0" applyAlignment="1" applyBorder="1" applyFont="1">
      <alignment readingOrder="0"/>
    </xf>
    <xf borderId="12" fillId="5" fontId="3" numFmtId="0" xfId="0" applyBorder="1" applyFill="1" applyFont="1"/>
    <xf borderId="0" fillId="0" fontId="5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9" fillId="2" fontId="3" numFmtId="0" xfId="0" applyBorder="1" applyFill="1" applyFont="1"/>
    <xf borderId="11" fillId="2" fontId="3" numFmtId="0" xfId="0" applyBorder="1" applyFill="1" applyFont="1"/>
    <xf borderId="9" fillId="3" fontId="3" numFmtId="0" xfId="0" applyBorder="1" applyFill="1" applyFont="1"/>
    <xf borderId="11" fillId="3" fontId="3" numFmtId="0" xfId="0" applyBorder="1" applyFill="1" applyFont="1"/>
    <xf borderId="9" fillId="4" fontId="3" numFmtId="0" xfId="0" applyBorder="1" applyFill="1" applyFont="1"/>
    <xf borderId="11" fillId="4" fontId="3" numFmtId="0" xfId="0" applyBorder="1" applyFill="1" applyFont="1"/>
    <xf borderId="10" fillId="5" fontId="3" numFmtId="0" xfId="0" applyBorder="1" applyFill="1" applyFont="1"/>
    <xf borderId="11" fillId="5" fontId="3" numFmtId="0" xfId="0" applyBorder="1" applyFill="1" applyFont="1"/>
    <xf borderId="12" fillId="0" fontId="3" numFmtId="0" xfId="0" applyBorder="1" applyFont="1"/>
    <xf borderId="12" fillId="0" fontId="3" numFmtId="0" xfId="0" applyAlignment="1" applyBorder="1" applyFont="1">
      <alignment readingOrder="0"/>
    </xf>
    <xf borderId="12" fillId="0" fontId="1" numFmtId="0" xfId="0" applyBorder="1" applyFont="1"/>
    <xf borderId="12" fillId="0" fontId="3" numFmtId="0" xfId="0" applyAlignment="1" applyBorder="1" applyFont="1">
      <alignment readingOrder="0"/>
    </xf>
    <xf borderId="9" fillId="7" fontId="1" numFmtId="0" xfId="0" applyAlignment="1" applyBorder="1" applyFill="1" applyFont="1">
      <alignment readingOrder="0"/>
    </xf>
    <xf borderId="10" fillId="7" fontId="3" numFmtId="0" xfId="0" applyBorder="1" applyFill="1" applyFont="1"/>
    <xf borderId="3" fillId="7" fontId="3" numFmtId="0" xfId="0" applyBorder="1" applyFill="1" applyFont="1"/>
    <xf borderId="1" fillId="7" fontId="3" numFmtId="0" xfId="0" applyBorder="1" applyFill="1" applyFont="1"/>
    <xf borderId="12" fillId="7" fontId="3" numFmtId="0" xfId="0" applyBorder="1" applyFill="1" applyFont="1"/>
    <xf borderId="8" fillId="7" fontId="3" numFmtId="0" xfId="0" applyBorder="1" applyFill="1" applyFont="1"/>
    <xf borderId="7" fillId="7" fontId="3" numFmtId="0" xfId="0" applyBorder="1" applyFill="1" applyFont="1"/>
    <xf borderId="7" fillId="7" fontId="3" numFmtId="0" xfId="0" applyAlignment="1" applyBorder="1" applyFill="1" applyFont="1">
      <alignment readingOrder="0"/>
    </xf>
    <xf borderId="12" fillId="7" fontId="1" numFmtId="0" xfId="0" applyBorder="1" applyFill="1" applyFont="1"/>
    <xf borderId="0" fillId="8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3" numFmtId="0" xfId="0" applyFill="1" applyFont="1"/>
    <xf borderId="2" fillId="7" fontId="3" numFmtId="0" xfId="0" applyBorder="1" applyFill="1" applyFont="1"/>
    <xf borderId="0" fillId="8" fontId="1" numFmtId="0" xfId="0" applyFill="1" applyFont="1"/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5" fillId="0" fontId="3" numFmtId="0" xfId="0" applyBorder="1" applyFont="1"/>
    <xf borderId="14" fillId="0" fontId="1" numFmtId="0" xfId="0" applyBorder="1" applyFont="1"/>
    <xf borderId="5" fillId="0" fontId="1" numFmtId="0" xfId="0" applyBorder="1" applyFont="1"/>
    <xf borderId="5" fillId="0" fontId="3" numFmtId="0" xfId="0" applyAlignment="1" applyBorder="1" applyFont="1">
      <alignment readingOrder="0"/>
    </xf>
    <xf borderId="14" fillId="0" fontId="3" numFmtId="0" xfId="0" applyBorder="1" applyFont="1"/>
    <xf borderId="15" fillId="0" fontId="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6" fillId="0" fontId="3" numFmtId="0" xfId="0" applyBorder="1" applyFont="1"/>
    <xf borderId="12" fillId="0" fontId="6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readingOrder="0" shrinkToFit="0" wrapText="1"/>
    </xf>
    <xf borderId="12" fillId="0" fontId="7" numFmtId="0" xfId="0" applyAlignment="1" applyBorder="1" applyFont="1">
      <alignment horizontal="left" readingOrder="0" shrinkToFit="0" wrapText="1"/>
    </xf>
    <xf borderId="12" fillId="8" fontId="7" numFmtId="0" xfId="0" applyAlignment="1" applyBorder="1" applyFill="1" applyFont="1">
      <alignment horizontal="left" readingOrder="0" shrinkToFit="0" wrapText="1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3" max="3" width="22.5"/>
    <col customWidth="1" min="4" max="4" width="17.0"/>
    <col customWidth="1" min="5" max="5" width="15.88"/>
    <col customWidth="1" min="6" max="6" width="17.38"/>
    <col customWidth="1" min="7" max="7" width="17.13"/>
    <col customWidth="1" min="8" max="8" width="17.63"/>
    <col customWidth="1" min="9" max="9" width="16.5"/>
    <col customWidth="1" min="10" max="10" width="18.25"/>
    <col customWidth="1" min="11" max="11" width="15.13"/>
    <col customWidth="1" min="12" max="12" width="15.25"/>
    <col customWidth="1" min="13" max="13" width="17.38"/>
    <col customWidth="1" min="14" max="14" width="20.5"/>
    <col customWidth="1" min="15" max="16" width="17.38"/>
    <col customWidth="1" min="18" max="18" width="24.88"/>
    <col customWidth="1" min="19" max="19" width="9.25"/>
    <col customWidth="1" min="23" max="23" width="22.13"/>
  </cols>
  <sheetData>
    <row r="1">
      <c r="B1" s="1"/>
      <c r="C1" s="2" t="s">
        <v>0</v>
      </c>
      <c r="D1" s="3" t="s">
        <v>1</v>
      </c>
      <c r="E1" s="4"/>
      <c r="F1" s="5" t="s">
        <v>2</v>
      </c>
      <c r="G1" s="4"/>
      <c r="H1" s="6" t="s">
        <v>3</v>
      </c>
      <c r="I1" s="4"/>
      <c r="J1" s="8" t="s">
        <v>4</v>
      </c>
      <c r="K1" s="4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/>
      <c r="B2" s="9"/>
      <c r="C2" s="11" t="s">
        <v>5</v>
      </c>
      <c r="D2" s="12" t="s">
        <v>6</v>
      </c>
      <c r="E2" s="13" t="s">
        <v>7</v>
      </c>
      <c r="F2" s="14" t="s">
        <v>6</v>
      </c>
      <c r="G2" s="15" t="s">
        <v>7</v>
      </c>
      <c r="H2" s="16" t="s">
        <v>6</v>
      </c>
      <c r="I2" s="17" t="s">
        <v>7</v>
      </c>
      <c r="J2" s="18" t="s">
        <v>6</v>
      </c>
      <c r="K2" s="19" t="s">
        <v>7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21"/>
      <c r="B3" s="22"/>
      <c r="C3" s="23"/>
      <c r="D3" s="25"/>
      <c r="E3" s="26" t="s">
        <v>8</v>
      </c>
      <c r="F3" s="27"/>
      <c r="G3" s="28" t="s">
        <v>8</v>
      </c>
      <c r="H3" s="30"/>
      <c r="I3" s="31" t="s">
        <v>8</v>
      </c>
      <c r="J3" s="32"/>
      <c r="K3" s="33" t="s">
        <v>8</v>
      </c>
      <c r="L3" s="9"/>
      <c r="M3" s="9"/>
      <c r="N3" s="9"/>
      <c r="O3" s="9"/>
      <c r="P3" s="34"/>
      <c r="U3" s="9"/>
      <c r="V3" s="9"/>
      <c r="W3" s="9"/>
      <c r="X3" s="9"/>
      <c r="Y3" s="9"/>
      <c r="Z3" s="9"/>
      <c r="AA3" s="9"/>
      <c r="AB3" s="9"/>
      <c r="AC3" s="9"/>
      <c r="AD3" s="9"/>
    </row>
    <row r="4" hidden="1">
      <c r="A4" s="35"/>
      <c r="B4" s="36"/>
      <c r="C4" s="37"/>
      <c r="D4" s="38">
        <v>40556.0</v>
      </c>
      <c r="E4" s="39">
        <v>12167.0</v>
      </c>
      <c r="F4" s="40">
        <v>39542.0</v>
      </c>
      <c r="G4" s="41">
        <v>11193.0</v>
      </c>
      <c r="H4" s="42">
        <v>10950.0</v>
      </c>
      <c r="I4" s="43">
        <v>12614.4</v>
      </c>
      <c r="J4" s="44">
        <v>33215.0</v>
      </c>
      <c r="K4" s="45">
        <v>21024.0</v>
      </c>
      <c r="P4" s="46"/>
    </row>
    <row r="5" hidden="1">
      <c r="A5" s="11"/>
      <c r="B5" s="46"/>
      <c r="D5" s="48">
        <v>486667.0</v>
      </c>
      <c r="E5" s="49">
        <v>146000.0</v>
      </c>
      <c r="F5" s="50">
        <v>474500.0</v>
      </c>
      <c r="G5" s="52">
        <v>134320.0</v>
      </c>
      <c r="H5" s="53">
        <v>62050.0</v>
      </c>
      <c r="I5" s="54">
        <v>71481.6</v>
      </c>
      <c r="J5" s="55"/>
      <c r="K5" s="57"/>
      <c r="O5" s="1"/>
      <c r="P5" s="1"/>
    </row>
    <row r="6" hidden="1">
      <c r="A6" s="21"/>
      <c r="B6" s="58"/>
      <c r="C6" s="59"/>
      <c r="D6" s="60">
        <v>202778.0</v>
      </c>
      <c r="E6" s="61">
        <v>60833.0</v>
      </c>
      <c r="F6" s="62">
        <v>197708.0</v>
      </c>
      <c r="G6" s="63">
        <v>55967.0</v>
      </c>
      <c r="H6" s="64">
        <v>109500.0</v>
      </c>
      <c r="I6" s="65">
        <v>126144.0</v>
      </c>
      <c r="J6" s="66">
        <v>144905.0</v>
      </c>
      <c r="K6" s="67">
        <v>84096.0</v>
      </c>
      <c r="O6" s="1"/>
      <c r="P6" s="69"/>
    </row>
    <row r="7">
      <c r="A7" s="70" t="s">
        <v>9</v>
      </c>
      <c r="B7" s="72"/>
      <c r="C7" s="74" t="s">
        <v>10</v>
      </c>
      <c r="D7" s="79">
        <f t="shared" ref="D7:J7" si="1">SUM(D4:D6)</f>
        <v>730001</v>
      </c>
      <c r="E7" s="80">
        <f t="shared" si="1"/>
        <v>219000</v>
      </c>
      <c r="F7" s="82">
        <f t="shared" si="1"/>
        <v>711750</v>
      </c>
      <c r="G7" s="83">
        <f t="shared" si="1"/>
        <v>201480</v>
      </c>
      <c r="H7" s="85">
        <f t="shared" si="1"/>
        <v>182500</v>
      </c>
      <c r="I7" s="86">
        <f t="shared" si="1"/>
        <v>210240</v>
      </c>
      <c r="J7" s="88">
        <f t="shared" si="1"/>
        <v>178120</v>
      </c>
      <c r="K7" s="89">
        <f>SUM(K4,K6)</f>
        <v>105120</v>
      </c>
      <c r="P7" s="46"/>
    </row>
    <row r="8">
      <c r="A8" s="90" t="s">
        <v>11</v>
      </c>
      <c r="B8" s="91">
        <v>5500.0</v>
      </c>
      <c r="C8" s="92" t="s">
        <v>12</v>
      </c>
      <c r="D8" s="48">
        <v>1845.0</v>
      </c>
      <c r="E8" s="93"/>
      <c r="F8" s="50">
        <v>1797.6</v>
      </c>
      <c r="G8" s="94"/>
      <c r="H8" s="53">
        <v>2363.0</v>
      </c>
      <c r="I8" s="95"/>
      <c r="J8" s="75">
        <v>929.7</v>
      </c>
      <c r="K8" s="57"/>
      <c r="M8" s="1"/>
      <c r="N8" s="46" t="s">
        <v>13</v>
      </c>
      <c r="O8" s="97">
        <f>(D8+F8+H8+J8)*365</f>
        <v>2531384.5</v>
      </c>
      <c r="P8" s="46" t="s">
        <v>14</v>
      </c>
    </row>
    <row r="9">
      <c r="A9" s="70"/>
      <c r="B9" s="99"/>
      <c r="C9" s="92" t="s">
        <v>15</v>
      </c>
      <c r="D9" s="48">
        <f>D8*365*0.7</f>
        <v>471397.5</v>
      </c>
      <c r="E9" s="49"/>
      <c r="F9" s="101">
        <f>F8*365*0.7</f>
        <v>459286.8</v>
      </c>
      <c r="G9" s="94"/>
      <c r="H9" s="102">
        <f>H8*365*0.7</f>
        <v>603746.5</v>
      </c>
      <c r="I9" s="95"/>
      <c r="J9" s="55">
        <f>J8*365*0.7</f>
        <v>237538.35</v>
      </c>
      <c r="K9" s="57"/>
      <c r="N9" s="46" t="s">
        <v>17</v>
      </c>
      <c r="O9" s="97">
        <f>D9+F9+H9+J9</f>
        <v>1771969.15</v>
      </c>
      <c r="P9" s="104" t="s">
        <v>14</v>
      </c>
      <c r="R9" s="46" t="s">
        <v>18</v>
      </c>
      <c r="S9" s="97">
        <f>S29/O9</f>
        <v>0.2823814399</v>
      </c>
      <c r="T9" s="46" t="s">
        <v>19</v>
      </c>
    </row>
    <row r="10" hidden="1">
      <c r="A10" s="107"/>
      <c r="B10" s="70"/>
      <c r="C10" s="1" t="s">
        <v>21</v>
      </c>
      <c r="D10" s="48">
        <v>2000.0</v>
      </c>
      <c r="E10" s="13"/>
      <c r="F10" s="50">
        <v>1950.0</v>
      </c>
      <c r="G10" s="108"/>
      <c r="H10" s="53">
        <v>2000.0</v>
      </c>
      <c r="I10" s="109"/>
      <c r="J10" s="75">
        <v>1300.0</v>
      </c>
      <c r="K10" s="110"/>
      <c r="L10" s="9"/>
      <c r="M10" s="1"/>
      <c r="N10" s="9"/>
      <c r="O10" s="9"/>
      <c r="P10" s="6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70" t="s">
        <v>22</v>
      </c>
      <c r="B11" s="91">
        <v>1.0</v>
      </c>
      <c r="C11" s="1"/>
      <c r="D11" s="12"/>
      <c r="E11" s="13"/>
      <c r="F11" s="14"/>
      <c r="G11" s="15"/>
      <c r="H11" s="16"/>
      <c r="I11" s="17"/>
      <c r="J11" s="18"/>
      <c r="K11" s="19"/>
      <c r="L11" s="111"/>
      <c r="M11" s="111"/>
      <c r="N11" s="46" t="s">
        <v>23</v>
      </c>
      <c r="O11" s="46">
        <f>(K7/J9+I7/H9+G7/F9+E7/D9)/4</f>
        <v>0.4235052271</v>
      </c>
      <c r="P11" s="1" t="s">
        <v>24</v>
      </c>
      <c r="Q11" s="1"/>
      <c r="R11" s="46" t="s">
        <v>25</v>
      </c>
      <c r="S11" s="46">
        <f>S29/O8</f>
        <v>0.1976670079</v>
      </c>
      <c r="T11" s="46" t="s">
        <v>19</v>
      </c>
      <c r="V11" s="9"/>
      <c r="W11" s="9"/>
      <c r="X11" s="9"/>
      <c r="Y11" s="9"/>
      <c r="Z11" s="9"/>
      <c r="AA11" s="9"/>
      <c r="AB11" s="9"/>
      <c r="AC11" s="9"/>
      <c r="AD11" s="9"/>
    </row>
    <row r="12">
      <c r="A12" s="1"/>
      <c r="B12" s="1"/>
      <c r="C12" s="112" t="s">
        <v>27</v>
      </c>
      <c r="D12" s="116">
        <f>0.75*(E7/D9)*B$11*(44/12)</f>
        <v>1.277584204</v>
      </c>
      <c r="E12" s="117"/>
      <c r="F12" s="118">
        <f>0.75*(G7/F9)*B$11*(44/12)</f>
        <v>1.206370399</v>
      </c>
      <c r="G12" s="119"/>
      <c r="H12" s="121">
        <f>0.75*(I7/H9)*B$11*(44/12)</f>
        <v>0.9576204583</v>
      </c>
      <c r="I12" s="122"/>
      <c r="J12" s="124">
        <f>0.75*(K7/J9)*B$11*(44/12)</f>
        <v>1.216982437</v>
      </c>
      <c r="K12" s="126"/>
      <c r="L12" s="9"/>
      <c r="M12" s="9"/>
      <c r="N12" s="9"/>
      <c r="O12" s="9"/>
      <c r="P12" s="1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1"/>
      <c r="B13" s="1"/>
      <c r="C13" s="1"/>
      <c r="D13" s="11"/>
      <c r="E13" s="127"/>
      <c r="F13" s="11"/>
      <c r="G13" s="127"/>
      <c r="H13" s="11"/>
      <c r="I13" s="127"/>
      <c r="J13" s="1"/>
      <c r="K13" s="1"/>
      <c r="L13" s="9"/>
      <c r="M13" s="111"/>
      <c r="N13" s="1"/>
      <c r="O13" s="1"/>
      <c r="P13" s="1"/>
      <c r="Q13" s="1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2" t="s">
        <v>28</v>
      </c>
      <c r="B14" s="74" t="s">
        <v>29</v>
      </c>
      <c r="C14" s="74" t="s">
        <v>30</v>
      </c>
      <c r="D14" s="128" t="s">
        <v>31</v>
      </c>
      <c r="E14" s="117" t="s">
        <v>32</v>
      </c>
      <c r="F14" s="130" t="s">
        <v>31</v>
      </c>
      <c r="G14" s="119" t="s">
        <v>32</v>
      </c>
      <c r="H14" s="132" t="s">
        <v>31</v>
      </c>
      <c r="I14" s="122" t="s">
        <v>32</v>
      </c>
      <c r="J14" s="134" t="s">
        <v>31</v>
      </c>
      <c r="K14" s="126" t="s">
        <v>32</v>
      </c>
      <c r="L14" s="136" t="s">
        <v>34</v>
      </c>
      <c r="M14" s="137" t="s">
        <v>35</v>
      </c>
      <c r="N14" s="112" t="s">
        <v>36</v>
      </c>
      <c r="O14" s="112" t="s">
        <v>37</v>
      </c>
      <c r="P14" s="112" t="s">
        <v>38</v>
      </c>
      <c r="Q14" s="1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9"/>
      <c r="B15" s="1" t="s">
        <v>39</v>
      </c>
      <c r="C15" s="1" t="s">
        <v>40</v>
      </c>
      <c r="D15" s="12" t="s">
        <v>41</v>
      </c>
      <c r="E15" s="13" t="s">
        <v>42</v>
      </c>
      <c r="F15" s="14" t="s">
        <v>41</v>
      </c>
      <c r="G15" s="15" t="s">
        <v>42</v>
      </c>
      <c r="H15" s="16" t="s">
        <v>41</v>
      </c>
      <c r="I15" s="17" t="s">
        <v>42</v>
      </c>
      <c r="J15" s="18" t="s">
        <v>41</v>
      </c>
      <c r="K15" s="19" t="s">
        <v>42</v>
      </c>
      <c r="L15" s="141"/>
      <c r="M15" s="142"/>
      <c r="N15" s="143" t="s">
        <v>43</v>
      </c>
      <c r="O15" s="143" t="s">
        <v>41</v>
      </c>
      <c r="P15" s="143" t="s">
        <v>42</v>
      </c>
      <c r="Q15" s="1"/>
      <c r="V15" s="145"/>
      <c r="W15" s="9"/>
      <c r="X15" s="9"/>
      <c r="Y15" s="9"/>
      <c r="Z15" s="9"/>
      <c r="AA15" s="9"/>
      <c r="AB15" s="9"/>
      <c r="AC15" s="9"/>
      <c r="AD15" s="9"/>
    </row>
    <row r="16">
      <c r="A16" s="35" t="s">
        <v>44</v>
      </c>
      <c r="B16" s="146">
        <v>1.0</v>
      </c>
      <c r="C16" s="147"/>
      <c r="D16" s="148">
        <f>(D12)*D9</f>
        <v>602250</v>
      </c>
      <c r="E16" s="149">
        <f t="shared" ref="E16:E21" si="2">D16*B16</f>
        <v>602250</v>
      </c>
      <c r="F16" s="150">
        <f>(F12)*F9</f>
        <v>554070</v>
      </c>
      <c r="G16" s="151">
        <f t="shared" ref="G16:G21" si="3">F16*B16</f>
        <v>554070</v>
      </c>
      <c r="H16" s="152">
        <f>(H12)*H9</f>
        <v>578160</v>
      </c>
      <c r="I16" s="153">
        <f t="shared" ref="I16:I21" si="4">H16*B16</f>
        <v>578160</v>
      </c>
      <c r="J16" s="154">
        <f>J9*(J12)</f>
        <v>289080</v>
      </c>
      <c r="K16" s="155">
        <f t="shared" ref="K16:K21" si="5">J16*B16</f>
        <v>289080</v>
      </c>
      <c r="L16" s="156">
        <f>SUM(D16,F16,H16,J16) + X38*0.001</f>
        <v>2040570.904</v>
      </c>
      <c r="M16" s="156">
        <f t="shared" ref="M16:M21" si="6">L16*B16</f>
        <v>2040570.904</v>
      </c>
      <c r="N16" s="157">
        <v>690000.0</v>
      </c>
      <c r="O16" s="158">
        <f t="shared" ref="O16:O21" si="7">L16-X$27*1000*N16*0.000000001</f>
        <v>1695314.776</v>
      </c>
      <c r="P16" s="159">
        <f t="shared" ref="P16:P21" si="8">O16*B16</f>
        <v>1695314.776</v>
      </c>
      <c r="Q16" s="69"/>
      <c r="R16" s="9"/>
      <c r="S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35" t="s">
        <v>45</v>
      </c>
      <c r="B17" s="146">
        <v>310.0</v>
      </c>
      <c r="C17" s="146">
        <v>2.0</v>
      </c>
      <c r="D17" s="148">
        <f>C$17*D9*B$8*0.000000001</f>
        <v>5.1853725</v>
      </c>
      <c r="E17" s="149">
        <f t="shared" si="2"/>
        <v>1607.465475</v>
      </c>
      <c r="F17" s="150">
        <f>C$17*F9*B$8*0.000000001</f>
        <v>5.0521548</v>
      </c>
      <c r="G17" s="151">
        <f t="shared" si="3"/>
        <v>1566.167988</v>
      </c>
      <c r="H17" s="152">
        <f>C$17*H9*B$8*0.000000001</f>
        <v>6.6412115</v>
      </c>
      <c r="I17" s="153">
        <f t="shared" si="4"/>
        <v>2058.775565</v>
      </c>
      <c r="J17" s="154">
        <f>C$17*J9*B$8*0.000000001</f>
        <v>2.61292185</v>
      </c>
      <c r="K17" s="155">
        <f t="shared" si="5"/>
        <v>810.0057735</v>
      </c>
      <c r="L17" s="156">
        <f t="shared" ref="L17:L21" si="9">SUM(D17,F17,H17,J17)</f>
        <v>19.49166065</v>
      </c>
      <c r="M17" s="156">
        <f t="shared" si="6"/>
        <v>6042.414802</v>
      </c>
      <c r="N17" s="157">
        <v>32.0</v>
      </c>
      <c r="O17" s="158">
        <f t="shared" si="7"/>
        <v>3.47978225</v>
      </c>
      <c r="P17" s="159">
        <f t="shared" si="8"/>
        <v>1078.732498</v>
      </c>
      <c r="Q17" s="69"/>
      <c r="R17" s="9"/>
      <c r="S17" s="9"/>
      <c r="T17" s="1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35" t="s">
        <v>46</v>
      </c>
      <c r="B18" s="146">
        <v>3.0</v>
      </c>
      <c r="C18" s="146">
        <v>50.0</v>
      </c>
      <c r="D18" s="148">
        <f>C$18*D9*B$8*0.000000001</f>
        <v>129.6343125</v>
      </c>
      <c r="E18" s="149">
        <f t="shared" si="2"/>
        <v>388.9029375</v>
      </c>
      <c r="F18" s="150">
        <f>C$18*F9*B$8*0.000000001</f>
        <v>126.30387</v>
      </c>
      <c r="G18" s="151">
        <f t="shared" si="3"/>
        <v>378.91161</v>
      </c>
      <c r="H18" s="152">
        <f>C$18*H9*B$8*0.000000001</f>
        <v>166.0302875</v>
      </c>
      <c r="I18" s="153">
        <f t="shared" si="4"/>
        <v>498.0908625</v>
      </c>
      <c r="J18" s="154">
        <f>C$18*J9*B$8*0.000000001</f>
        <v>65.32304625</v>
      </c>
      <c r="K18" s="155">
        <f t="shared" si="5"/>
        <v>195.9691388</v>
      </c>
      <c r="L18" s="156">
        <f t="shared" si="9"/>
        <v>487.2915163</v>
      </c>
      <c r="M18" s="156">
        <f t="shared" si="6"/>
        <v>1461.874549</v>
      </c>
      <c r="N18" s="157">
        <v>235.0</v>
      </c>
      <c r="O18" s="158">
        <f t="shared" si="7"/>
        <v>369.7042843</v>
      </c>
      <c r="P18" s="159">
        <f t="shared" si="8"/>
        <v>1109.112853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35" t="s">
        <v>47</v>
      </c>
      <c r="B19" s="146">
        <v>8.0</v>
      </c>
      <c r="C19" s="146">
        <v>200.0</v>
      </c>
      <c r="D19" s="148">
        <f>C$19*D9*B$8*0.000000001</f>
        <v>518.53725</v>
      </c>
      <c r="E19" s="149">
        <f t="shared" si="2"/>
        <v>4148.298</v>
      </c>
      <c r="F19" s="150">
        <f>C$19*F9*B$8*0.000000001</f>
        <v>505.21548</v>
      </c>
      <c r="G19" s="151">
        <f t="shared" si="3"/>
        <v>4041.72384</v>
      </c>
      <c r="H19" s="152">
        <f>C$19*H9*B$8*0.000000001</f>
        <v>664.12115</v>
      </c>
      <c r="I19" s="153">
        <f t="shared" si="4"/>
        <v>5312.9692</v>
      </c>
      <c r="J19" s="154">
        <f>C$19*J9*B$8*0.000000001</f>
        <v>261.292185</v>
      </c>
      <c r="K19" s="155">
        <f t="shared" si="5"/>
        <v>2090.33748</v>
      </c>
      <c r="L19" s="157">
        <f t="shared" si="9"/>
        <v>1949.166065</v>
      </c>
      <c r="M19" s="156">
        <f t="shared" si="6"/>
        <v>15593.32852</v>
      </c>
      <c r="N19" s="157">
        <v>13.0</v>
      </c>
      <c r="O19" s="158">
        <f t="shared" si="7"/>
        <v>1942.661239</v>
      </c>
      <c r="P19" s="159">
        <f t="shared" si="8"/>
        <v>15541.28992</v>
      </c>
      <c r="V19" s="9"/>
      <c r="W19" s="9"/>
      <c r="X19" s="9"/>
      <c r="Y19" s="9"/>
      <c r="Z19" s="9"/>
      <c r="AA19" s="9"/>
      <c r="AB19" s="9"/>
      <c r="AC19" s="9"/>
      <c r="AD19" s="9"/>
    </row>
    <row r="20">
      <c r="A20" s="35" t="s">
        <v>48</v>
      </c>
      <c r="B20" s="146">
        <v>0.0</v>
      </c>
      <c r="C20" s="146">
        <v>4.0</v>
      </c>
      <c r="D20" s="148">
        <f>C$20*D9*B$8*0.000000001</f>
        <v>10.370745</v>
      </c>
      <c r="E20" s="149">
        <f t="shared" si="2"/>
        <v>0</v>
      </c>
      <c r="F20" s="150">
        <f>C$20*F9*B$8*0.000000001</f>
        <v>10.1043096</v>
      </c>
      <c r="G20" s="151">
        <f t="shared" si="3"/>
        <v>0</v>
      </c>
      <c r="H20" s="152">
        <f>C$20*H9*B$8*0.000000001</f>
        <v>13.282423</v>
      </c>
      <c r="I20" s="153">
        <f t="shared" si="4"/>
        <v>0</v>
      </c>
      <c r="J20" s="154">
        <f>C$20*J9*B$8*0.000000001</f>
        <v>5.2258437</v>
      </c>
      <c r="K20" s="155">
        <f t="shared" si="5"/>
        <v>0</v>
      </c>
      <c r="L20" s="157">
        <f t="shared" si="9"/>
        <v>38.9833213</v>
      </c>
      <c r="M20" s="156">
        <f t="shared" si="6"/>
        <v>0</v>
      </c>
      <c r="N20" s="157">
        <v>7.0</v>
      </c>
      <c r="O20" s="158">
        <f t="shared" si="7"/>
        <v>35.4807229</v>
      </c>
      <c r="P20" s="159">
        <f t="shared" si="8"/>
        <v>0</v>
      </c>
      <c r="V20" s="9"/>
      <c r="W20" s="9"/>
      <c r="X20" s="9"/>
      <c r="Y20" s="9"/>
      <c r="Z20" s="9"/>
      <c r="AA20" s="9"/>
      <c r="AB20" s="9"/>
      <c r="AC20" s="9"/>
      <c r="AD20" s="9"/>
    </row>
    <row r="21">
      <c r="A21" s="35" t="s">
        <v>49</v>
      </c>
      <c r="B21" s="146">
        <v>11.0</v>
      </c>
      <c r="C21" s="146">
        <v>5.0</v>
      </c>
      <c r="D21" s="148">
        <f>C$21*D9*B$8*0.000000001</f>
        <v>12.96343125</v>
      </c>
      <c r="E21" s="149">
        <f t="shared" si="2"/>
        <v>142.5977438</v>
      </c>
      <c r="F21" s="150">
        <f>C$21*F9*B$8*0.000000001</f>
        <v>12.630387</v>
      </c>
      <c r="G21" s="151">
        <f t="shared" si="3"/>
        <v>138.934257</v>
      </c>
      <c r="H21" s="152">
        <f>C$21*H9*B$8*0.000000001</f>
        <v>16.60302875</v>
      </c>
      <c r="I21" s="153">
        <f t="shared" si="4"/>
        <v>182.6333163</v>
      </c>
      <c r="J21" s="154">
        <f>C$21*J9*B$8*0.000000001</f>
        <v>6.532304625</v>
      </c>
      <c r="K21" s="155">
        <f t="shared" si="5"/>
        <v>71.85535088</v>
      </c>
      <c r="L21" s="157">
        <f t="shared" si="9"/>
        <v>48.72915163</v>
      </c>
      <c r="M21" s="156">
        <f t="shared" si="6"/>
        <v>536.0206679</v>
      </c>
      <c r="N21" s="157">
        <v>660.0</v>
      </c>
      <c r="O21" s="158">
        <f t="shared" si="7"/>
        <v>-281.5158404</v>
      </c>
      <c r="P21" s="159">
        <f t="shared" si="8"/>
        <v>-3096.674244</v>
      </c>
      <c r="R21" s="9"/>
      <c r="S21" s="1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60" t="s">
        <v>50</v>
      </c>
      <c r="B22" s="161"/>
      <c r="C22" s="162"/>
      <c r="D22" s="163">
        <f t="shared" ref="D22:E22" si="10">SUM(D16:D21)</f>
        <v>602926.6911</v>
      </c>
      <c r="E22" s="172">
        <f t="shared" si="10"/>
        <v>608537.2642</v>
      </c>
      <c r="F22" s="163">
        <f t="shared" ref="F22:G22" si="11">SUM(F15:F21)</f>
        <v>554729.3062</v>
      </c>
      <c r="G22" s="172">
        <f t="shared" si="11"/>
        <v>560195.7377</v>
      </c>
      <c r="H22" s="163">
        <f t="shared" ref="H22:K22" si="12">SUM(H16:H21)</f>
        <v>579026.6781</v>
      </c>
      <c r="I22" s="172">
        <f t="shared" si="12"/>
        <v>586212.4689</v>
      </c>
      <c r="J22" s="162">
        <f t="shared" si="12"/>
        <v>289420.9863</v>
      </c>
      <c r="K22" s="172">
        <f t="shared" si="12"/>
        <v>292248.1677</v>
      </c>
      <c r="L22" s="165"/>
      <c r="M22" s="164">
        <f>SUM(M16:M21)</f>
        <v>2064204.542</v>
      </c>
      <c r="N22" s="166"/>
      <c r="O22" s="167"/>
      <c r="P22" s="168">
        <f>SUM(P16:P21)</f>
        <v>1709947.237</v>
      </c>
      <c r="Q22" s="1" t="s">
        <v>51</v>
      </c>
    </row>
    <row r="23">
      <c r="A23" s="9"/>
      <c r="B23" s="46"/>
      <c r="M23" s="9"/>
      <c r="P23" s="173">
        <f>P22/X$27</f>
        <v>3.417357428</v>
      </c>
      <c r="Q23" s="1" t="s">
        <v>52</v>
      </c>
    </row>
    <row r="24">
      <c r="A24" s="46"/>
      <c r="B24" s="46"/>
      <c r="G24" s="1"/>
      <c r="H24" s="1"/>
      <c r="K24" s="1"/>
      <c r="M24" s="9"/>
      <c r="O24" s="1" t="s">
        <v>54</v>
      </c>
      <c r="P24" s="97">
        <f>M22/X$27</f>
        <v>4.125346428</v>
      </c>
      <c r="Q24" s="1" t="s">
        <v>52</v>
      </c>
    </row>
    <row r="25">
      <c r="A25" s="9"/>
      <c r="P25" s="97">
        <f>P22*1000/O9</f>
        <v>964.998311</v>
      </c>
      <c r="Q25" s="1" t="s">
        <v>64</v>
      </c>
    </row>
    <row r="26">
      <c r="A26" s="9"/>
      <c r="Q26" s="175" t="s">
        <v>57</v>
      </c>
      <c r="R26" s="7"/>
      <c r="S26" s="7"/>
      <c r="T26" s="4"/>
      <c r="V26" s="175" t="s">
        <v>57</v>
      </c>
      <c r="W26" s="7"/>
      <c r="X26" s="7"/>
      <c r="Y26" s="4"/>
    </row>
    <row r="27">
      <c r="A27" s="9"/>
      <c r="Q27" s="112" t="s">
        <v>58</v>
      </c>
      <c r="R27" s="156"/>
      <c r="S27" s="156">
        <f>84*24*365*0.8</f>
        <v>588672</v>
      </c>
      <c r="T27" s="157" t="s">
        <v>59</v>
      </c>
      <c r="V27" s="11" t="s">
        <v>69</v>
      </c>
      <c r="W27" s="176"/>
      <c r="X27" s="97">
        <f>84*24*365*0.8*0.85</f>
        <v>500371.2</v>
      </c>
      <c r="Y27" s="179" t="s">
        <v>59</v>
      </c>
      <c r="AA27" s="97">
        <f>X27/X30</f>
        <v>0.2823814399</v>
      </c>
      <c r="AB27" s="46" t="s">
        <v>75</v>
      </c>
      <c r="AC27" s="1"/>
    </row>
    <row r="28">
      <c r="A28" s="9"/>
      <c r="Q28" s="112" t="s">
        <v>60</v>
      </c>
      <c r="R28" s="112"/>
      <c r="S28" s="156">
        <f>S27*0.15</f>
        <v>88300.8</v>
      </c>
      <c r="T28" s="157" t="s">
        <v>59</v>
      </c>
      <c r="V28" s="11" t="s">
        <v>76</v>
      </c>
      <c r="W28" s="127"/>
      <c r="Y28" s="176"/>
      <c r="AC28" s="1"/>
    </row>
    <row r="29">
      <c r="A29" s="9"/>
      <c r="Q29" s="112" t="s">
        <v>61</v>
      </c>
      <c r="R29" s="112"/>
      <c r="S29" s="156">
        <f>S27-S28</f>
        <v>500371.2</v>
      </c>
      <c r="T29" s="157" t="s">
        <v>59</v>
      </c>
      <c r="V29" s="11" t="s">
        <v>62</v>
      </c>
      <c r="W29" s="176"/>
      <c r="X29" s="97">
        <f>K7+I7+G7+E7</f>
        <v>735840</v>
      </c>
      <c r="Y29" s="179" t="s">
        <v>63</v>
      </c>
      <c r="AC29" s="1"/>
    </row>
    <row r="30">
      <c r="A30" s="9"/>
      <c r="V30" s="21" t="s">
        <v>65</v>
      </c>
      <c r="W30" s="59"/>
      <c r="X30" s="184">
        <f>D9+F9+H9+J9</f>
        <v>1771969.15</v>
      </c>
      <c r="Y30" s="183" t="s">
        <v>63</v>
      </c>
      <c r="AA30" s="97">
        <f>X29/X30</f>
        <v>0.4152668234</v>
      </c>
    </row>
    <row r="31">
      <c r="A31" s="9"/>
    </row>
    <row r="32">
      <c r="A32" s="9"/>
      <c r="V32" s="175" t="s">
        <v>70</v>
      </c>
      <c r="W32" s="7"/>
      <c r="X32" s="7"/>
      <c r="Y32" s="4"/>
    </row>
    <row r="33">
      <c r="A33" s="9"/>
      <c r="V33" s="177"/>
      <c r="W33" s="1" t="s">
        <v>71</v>
      </c>
      <c r="X33" s="9"/>
      <c r="Y33" s="178"/>
    </row>
    <row r="34">
      <c r="A34" s="9"/>
      <c r="V34" s="177"/>
      <c r="W34" s="1" t="s">
        <v>72</v>
      </c>
      <c r="X34" s="9"/>
      <c r="Y34" s="178"/>
    </row>
    <row r="35">
      <c r="A35" s="9"/>
      <c r="V35" s="177"/>
      <c r="W35" s="1" t="s">
        <v>73</v>
      </c>
      <c r="X35" s="1" t="s">
        <v>74</v>
      </c>
      <c r="Y35" s="178"/>
    </row>
    <row r="36">
      <c r="A36" s="9"/>
      <c r="V36" s="180"/>
      <c r="W36" s="97">
        <f>3.2*2</f>
        <v>6.4</v>
      </c>
      <c r="X36" s="97">
        <f>3.2*4</f>
        <v>12.8</v>
      </c>
      <c r="Y36" s="176"/>
    </row>
    <row r="37">
      <c r="A37" s="9"/>
      <c r="V37" s="181" t="s">
        <v>77</v>
      </c>
      <c r="W37" s="59">
        <f>W36*X30</f>
        <v>11340602.56</v>
      </c>
      <c r="X37" s="59">
        <f>X36*X30</f>
        <v>22681205.12</v>
      </c>
      <c r="Y37" s="182" t="s">
        <v>78</v>
      </c>
    </row>
    <row r="38">
      <c r="A38" s="9"/>
      <c r="V38" s="181" t="s">
        <v>79</v>
      </c>
      <c r="W38" s="59"/>
      <c r="X38" s="59">
        <f>AVERAGE(W37,X37)</f>
        <v>17010903.84</v>
      </c>
      <c r="Y38" s="183" t="s">
        <v>78</v>
      </c>
    </row>
    <row r="39">
      <c r="A39" s="9"/>
    </row>
    <row r="40">
      <c r="A40" s="9"/>
    </row>
    <row r="41">
      <c r="A41" s="9"/>
      <c r="T41" s="34"/>
      <c r="U41" s="34"/>
      <c r="V41" s="34"/>
      <c r="W41" s="34"/>
      <c r="X41" s="34"/>
      <c r="Y41" s="34"/>
      <c r="Z41" s="34"/>
      <c r="AA41" s="34"/>
      <c r="AB41" s="34"/>
    </row>
    <row r="42">
      <c r="A42" s="9"/>
      <c r="T42" s="189" t="s">
        <v>80</v>
      </c>
      <c r="U42" s="189" t="s">
        <v>81</v>
      </c>
      <c r="V42" s="189" t="s">
        <v>95</v>
      </c>
      <c r="W42" s="189" t="s">
        <v>83</v>
      </c>
      <c r="X42" s="189" t="s">
        <v>84</v>
      </c>
      <c r="Y42" s="189" t="s">
        <v>85</v>
      </c>
      <c r="Z42" s="189" t="s">
        <v>86</v>
      </c>
      <c r="AA42" s="1"/>
      <c r="AB42" s="1" t="s">
        <v>31</v>
      </c>
      <c r="AC42" s="92" t="s">
        <v>96</v>
      </c>
      <c r="AD42" s="1" t="s">
        <v>97</v>
      </c>
    </row>
    <row r="43">
      <c r="A43" s="9"/>
      <c r="T43" s="190" t="s">
        <v>3</v>
      </c>
      <c r="U43" s="190" t="s">
        <v>88</v>
      </c>
      <c r="V43" s="190">
        <v>137.94</v>
      </c>
      <c r="W43" s="190">
        <v>162.28</v>
      </c>
      <c r="X43" s="190">
        <v>24.0</v>
      </c>
      <c r="Y43" s="190">
        <v>77.2</v>
      </c>
      <c r="Z43" s="190" t="s">
        <v>89</v>
      </c>
      <c r="AB43" s="97">
        <f>H$22</f>
        <v>579026.6781</v>
      </c>
    </row>
    <row r="44">
      <c r="A44" s="9"/>
      <c r="T44" s="190" t="s">
        <v>2</v>
      </c>
      <c r="U44" s="190" t="s">
        <v>90</v>
      </c>
      <c r="V44" s="190">
        <v>109.37</v>
      </c>
      <c r="W44" s="190">
        <v>167.87</v>
      </c>
      <c r="X44" s="190">
        <v>23.0</v>
      </c>
      <c r="Y44" s="190">
        <v>83.3</v>
      </c>
      <c r="Z44" s="190" t="s">
        <v>91</v>
      </c>
      <c r="AB44" s="97">
        <f>F$22</f>
        <v>554729.3062</v>
      </c>
    </row>
    <row r="45">
      <c r="A45" s="9"/>
      <c r="T45" s="191" t="s">
        <v>1</v>
      </c>
      <c r="U45" s="191" t="s">
        <v>92</v>
      </c>
      <c r="V45" s="191">
        <v>33.31</v>
      </c>
      <c r="W45" s="191">
        <v>220.05</v>
      </c>
      <c r="X45" s="191">
        <v>25.0</v>
      </c>
      <c r="Y45" s="191">
        <v>119.6</v>
      </c>
      <c r="Z45" s="191" t="s">
        <v>93</v>
      </c>
      <c r="AB45" s="97">
        <f>D$22</f>
        <v>602926.6911</v>
      </c>
    </row>
    <row r="46">
      <c r="A46" s="9"/>
      <c r="T46" s="191" t="s">
        <v>4</v>
      </c>
      <c r="U46" s="191" t="s">
        <v>94</v>
      </c>
      <c r="V46" s="191">
        <v>4.773</v>
      </c>
      <c r="W46" s="191">
        <v>17.5</v>
      </c>
      <c r="X46" s="191">
        <v>12.0</v>
      </c>
      <c r="Y46" s="191">
        <v>16.6</v>
      </c>
      <c r="Z46" s="191" t="s">
        <v>93</v>
      </c>
      <c r="AB46" s="97">
        <f>J$22</f>
        <v>289420.9863</v>
      </c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</sheetData>
  <mergeCells count="9">
    <mergeCell ref="V26:Y26"/>
    <mergeCell ref="V32:Y32"/>
    <mergeCell ref="D1:E1"/>
    <mergeCell ref="F1:G1"/>
    <mergeCell ref="H1:I1"/>
    <mergeCell ref="J1:K1"/>
    <mergeCell ref="L14:L15"/>
    <mergeCell ref="M14:M15"/>
    <mergeCell ref="Q26:T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3" max="3" width="22.5"/>
    <col customWidth="1" min="4" max="4" width="17.0"/>
    <col customWidth="1" min="5" max="6" width="15.88"/>
    <col customWidth="1" min="7" max="7" width="17.38"/>
    <col customWidth="1" min="8" max="9" width="17.13"/>
    <col customWidth="1" min="10" max="10" width="17.63"/>
    <col customWidth="1" min="11" max="12" width="16.5"/>
    <col customWidth="1" min="13" max="13" width="18.25"/>
    <col customWidth="1" min="14" max="15" width="15.13"/>
    <col customWidth="1" min="16" max="16" width="15.25"/>
    <col customWidth="1" min="17" max="17" width="17.38"/>
    <col customWidth="1" min="18" max="18" width="14.13"/>
    <col customWidth="1" min="19" max="20" width="17.38"/>
    <col customWidth="1" min="24" max="24" width="26.0"/>
    <col customWidth="1" min="28" max="28" width="13.75"/>
  </cols>
  <sheetData>
    <row r="1">
      <c r="B1" s="1"/>
      <c r="C1" s="2" t="s">
        <v>0</v>
      </c>
      <c r="D1" s="3" t="s">
        <v>1</v>
      </c>
      <c r="E1" s="7"/>
      <c r="F1" s="4"/>
      <c r="G1" s="5" t="s">
        <v>2</v>
      </c>
      <c r="H1" s="7"/>
      <c r="I1" s="4"/>
      <c r="J1" s="6" t="s">
        <v>3</v>
      </c>
      <c r="K1" s="7"/>
      <c r="L1" s="4"/>
      <c r="M1" s="8" t="s">
        <v>4</v>
      </c>
      <c r="N1" s="7"/>
      <c r="O1" s="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>
      <c r="A2" s="10"/>
      <c r="B2" s="9"/>
      <c r="C2" s="11" t="s">
        <v>5</v>
      </c>
      <c r="D2" s="12" t="s">
        <v>6</v>
      </c>
      <c r="E2" s="13" t="s">
        <v>7</v>
      </c>
      <c r="F2" s="20"/>
      <c r="G2" s="14" t="s">
        <v>6</v>
      </c>
      <c r="H2" s="15" t="s">
        <v>7</v>
      </c>
      <c r="I2" s="24"/>
      <c r="J2" s="16" t="s">
        <v>6</v>
      </c>
      <c r="K2" s="17" t="s">
        <v>7</v>
      </c>
      <c r="L2" s="29"/>
      <c r="M2" s="18" t="s">
        <v>6</v>
      </c>
      <c r="N2" s="19" t="s">
        <v>7</v>
      </c>
      <c r="O2" s="1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>
      <c r="A3" s="21"/>
      <c r="B3" s="22"/>
      <c r="C3" s="23"/>
      <c r="D3" s="25"/>
      <c r="E3" s="26" t="s">
        <v>8</v>
      </c>
      <c r="F3" s="47"/>
      <c r="G3" s="27"/>
      <c r="H3" s="28" t="s">
        <v>8</v>
      </c>
      <c r="I3" s="51"/>
      <c r="J3" s="30"/>
      <c r="K3" s="31" t="s">
        <v>8</v>
      </c>
      <c r="L3" s="56"/>
      <c r="M3" s="32"/>
      <c r="N3" s="33" t="s">
        <v>8</v>
      </c>
      <c r="O3" s="18"/>
      <c r="P3" s="9"/>
      <c r="Q3" s="9"/>
      <c r="R3" s="9"/>
      <c r="S3" s="9"/>
      <c r="T3" s="3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hidden="1">
      <c r="A4" s="35"/>
      <c r="B4" s="36"/>
      <c r="C4" s="37"/>
      <c r="D4" s="38">
        <v>40556.0</v>
      </c>
      <c r="E4" s="39">
        <v>12167.0</v>
      </c>
      <c r="F4" s="68"/>
      <c r="G4" s="40">
        <v>39542.0</v>
      </c>
      <c r="H4" s="41">
        <v>11193.0</v>
      </c>
      <c r="I4" s="71"/>
      <c r="J4" s="42">
        <v>10950.0</v>
      </c>
      <c r="K4" s="43">
        <v>12614.4</v>
      </c>
      <c r="L4" s="73"/>
      <c r="M4" s="44">
        <v>33215.0</v>
      </c>
      <c r="N4" s="45">
        <v>21024.0</v>
      </c>
      <c r="O4" s="75"/>
      <c r="T4" s="46"/>
    </row>
    <row r="5" hidden="1">
      <c r="A5" s="11"/>
      <c r="B5" s="46"/>
      <c r="D5" s="48">
        <v>486667.0</v>
      </c>
      <c r="E5" s="49">
        <v>146000.0</v>
      </c>
      <c r="F5" s="76"/>
      <c r="G5" s="50">
        <v>474500.0</v>
      </c>
      <c r="H5" s="52">
        <v>134320.0</v>
      </c>
      <c r="I5" s="77"/>
      <c r="J5" s="53">
        <v>62050.0</v>
      </c>
      <c r="K5" s="54">
        <v>71481.6</v>
      </c>
      <c r="L5" s="78"/>
      <c r="M5" s="55"/>
      <c r="N5" s="57"/>
      <c r="O5" s="55"/>
      <c r="S5" s="1"/>
      <c r="T5" s="1"/>
    </row>
    <row r="6" hidden="1">
      <c r="A6" s="21"/>
      <c r="B6" s="58"/>
      <c r="C6" s="59"/>
      <c r="D6" s="60">
        <v>202778.0</v>
      </c>
      <c r="E6" s="61">
        <v>60833.0</v>
      </c>
      <c r="F6" s="81"/>
      <c r="G6" s="62">
        <v>197708.0</v>
      </c>
      <c r="H6" s="63">
        <v>55967.0</v>
      </c>
      <c r="I6" s="84"/>
      <c r="J6" s="64">
        <v>109500.0</v>
      </c>
      <c r="K6" s="65">
        <v>126144.0</v>
      </c>
      <c r="L6" s="87"/>
      <c r="M6" s="66">
        <v>144905.0</v>
      </c>
      <c r="N6" s="67">
        <v>84096.0</v>
      </c>
      <c r="O6" s="75"/>
      <c r="S6" s="1"/>
      <c r="T6" s="69"/>
    </row>
    <row r="7">
      <c r="A7" s="70" t="s">
        <v>9</v>
      </c>
      <c r="B7" s="72"/>
      <c r="C7" s="74" t="s">
        <v>10</v>
      </c>
      <c r="D7" s="79">
        <f t="shared" ref="D7:E7" si="1">SUM(D4:D6)</f>
        <v>730001</v>
      </c>
      <c r="E7" s="80">
        <f t="shared" si="1"/>
        <v>219000</v>
      </c>
      <c r="F7" s="96"/>
      <c r="G7" s="82">
        <f t="shared" ref="G7:H7" si="2">SUM(G4:G6)</f>
        <v>711750</v>
      </c>
      <c r="H7" s="83">
        <f t="shared" si="2"/>
        <v>201480</v>
      </c>
      <c r="I7" s="98"/>
      <c r="J7" s="85">
        <f t="shared" ref="J7:K7" si="3">SUM(J4:J6)</f>
        <v>182500</v>
      </c>
      <c r="K7" s="86">
        <f t="shared" si="3"/>
        <v>210240</v>
      </c>
      <c r="L7" s="100"/>
      <c r="M7" s="88">
        <f>SUM(M4:M6)</f>
        <v>178120</v>
      </c>
      <c r="N7" s="89">
        <f>SUM(N4,N6)</f>
        <v>105120</v>
      </c>
      <c r="O7" s="55"/>
      <c r="P7" s="97">
        <f>N7+K7+H7+E7</f>
        <v>735840</v>
      </c>
      <c r="Q7" s="46" t="s">
        <v>16</v>
      </c>
      <c r="T7" s="46"/>
    </row>
    <row r="8">
      <c r="A8" s="90" t="s">
        <v>11</v>
      </c>
      <c r="B8" s="91">
        <v>5500.0</v>
      </c>
      <c r="C8" s="92" t="s">
        <v>12</v>
      </c>
      <c r="D8" s="48">
        <v>1845.0</v>
      </c>
      <c r="E8" s="93"/>
      <c r="F8" s="103"/>
      <c r="G8" s="50">
        <v>1797.6</v>
      </c>
      <c r="H8" s="94"/>
      <c r="I8" s="105"/>
      <c r="J8" s="53">
        <v>2363.0</v>
      </c>
      <c r="K8" s="95"/>
      <c r="L8" s="106"/>
      <c r="M8" s="75">
        <v>929.7</v>
      </c>
      <c r="N8" s="57"/>
      <c r="O8" s="55"/>
      <c r="Q8" s="1"/>
      <c r="T8" s="46"/>
    </row>
    <row r="9">
      <c r="A9" s="70"/>
      <c r="B9" s="99"/>
      <c r="C9" s="92" t="s">
        <v>20</v>
      </c>
      <c r="D9" s="48">
        <f>D8*365*0.7</f>
        <v>471397.5</v>
      </c>
      <c r="E9" s="49"/>
      <c r="F9" s="76"/>
      <c r="G9" s="101">
        <f>G8*365*0.7</f>
        <v>459286.8</v>
      </c>
      <c r="H9" s="94"/>
      <c r="I9" s="105"/>
      <c r="J9" s="102">
        <f>J8*365*0.7</f>
        <v>603746.5</v>
      </c>
      <c r="K9" s="95"/>
      <c r="L9" s="106"/>
      <c r="M9" s="55">
        <f>M8*365*0.7</f>
        <v>237538.35</v>
      </c>
      <c r="N9" s="57"/>
      <c r="O9" s="55"/>
      <c r="P9" s="97">
        <f>D9+G9+J9+M9</f>
        <v>1771969.15</v>
      </c>
      <c r="Q9" s="46" t="s">
        <v>26</v>
      </c>
      <c r="T9" s="104"/>
    </row>
    <row r="10" hidden="1">
      <c r="A10" s="107"/>
      <c r="B10" s="70"/>
      <c r="C10" s="1" t="s">
        <v>21</v>
      </c>
      <c r="D10" s="48">
        <v>2000.0</v>
      </c>
      <c r="E10" s="13"/>
      <c r="F10" s="20"/>
      <c r="G10" s="50">
        <v>1950.0</v>
      </c>
      <c r="H10" s="108"/>
      <c r="I10" s="113"/>
      <c r="J10" s="53">
        <v>2000.0</v>
      </c>
      <c r="K10" s="109"/>
      <c r="L10" s="114"/>
      <c r="M10" s="75">
        <v>1300.0</v>
      </c>
      <c r="N10" s="110"/>
      <c r="O10" s="115"/>
      <c r="P10" s="9"/>
      <c r="Q10" s="1"/>
      <c r="R10" s="9"/>
      <c r="S10" s="9"/>
      <c r="T10" s="6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>
      <c r="A11" s="70" t="s">
        <v>22</v>
      </c>
      <c r="B11" s="91">
        <v>1.0</v>
      </c>
      <c r="C11" s="1"/>
      <c r="D11" s="12"/>
      <c r="E11" s="13"/>
      <c r="F11" s="20"/>
      <c r="G11" s="14"/>
      <c r="H11" s="15"/>
      <c r="I11" s="24"/>
      <c r="J11" s="16"/>
      <c r="K11" s="17"/>
      <c r="L11" s="29"/>
      <c r="M11" s="18"/>
      <c r="N11" s="19"/>
      <c r="O11" s="18"/>
      <c r="P11" s="111"/>
      <c r="Q11" s="111"/>
      <c r="R11" s="1"/>
      <c r="S11" s="1"/>
      <c r="T11" s="1"/>
      <c r="U11" s="1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>
      <c r="A12" s="1"/>
      <c r="B12" s="1"/>
      <c r="C12" s="112" t="s">
        <v>27</v>
      </c>
      <c r="D12" s="116">
        <f>0.75*(E7/D9)*B$11*(44/12)</f>
        <v>1.277584204</v>
      </c>
      <c r="E12" s="117"/>
      <c r="F12" s="120"/>
      <c r="G12" s="118">
        <f>0.75*(H7/G9)*B$11*(44/12)</f>
        <v>1.206370399</v>
      </c>
      <c r="H12" s="119"/>
      <c r="I12" s="123"/>
      <c r="J12" s="121">
        <f>0.75*(K7/J9)*B$11*(44/12)</f>
        <v>0.9576204583</v>
      </c>
      <c r="K12" s="122"/>
      <c r="L12" s="125"/>
      <c r="M12" s="124">
        <f>0.75*(N7/M9)*B$11*(44/12)</f>
        <v>1.216982437</v>
      </c>
      <c r="N12" s="126"/>
      <c r="O12" s="18"/>
      <c r="P12" s="9"/>
      <c r="Q12" s="9"/>
      <c r="R12" s="9"/>
      <c r="S12" s="9"/>
      <c r="T12" s="1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</row>
    <row r="13">
      <c r="A13" s="1"/>
      <c r="B13" s="1"/>
      <c r="C13" s="1"/>
      <c r="D13" s="11"/>
      <c r="E13" s="127"/>
      <c r="F13" s="1"/>
      <c r="G13" s="11"/>
      <c r="H13" s="127"/>
      <c r="I13" s="1"/>
      <c r="J13" s="11"/>
      <c r="K13" s="127"/>
      <c r="L13" s="1"/>
      <c r="M13" s="1"/>
      <c r="N13" s="1"/>
      <c r="O13" s="1"/>
      <c r="P13" s="9"/>
      <c r="Q13" s="111"/>
      <c r="R13" s="1"/>
      <c r="S13" s="1"/>
      <c r="T13" s="1"/>
      <c r="U13" s="1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r="14">
      <c r="A14" s="2" t="s">
        <v>28</v>
      </c>
      <c r="B14" s="74" t="s">
        <v>29</v>
      </c>
      <c r="C14" s="74" t="s">
        <v>30</v>
      </c>
      <c r="D14" s="128" t="s">
        <v>31</v>
      </c>
      <c r="E14" s="129" t="s">
        <v>33</v>
      </c>
      <c r="F14" s="129" t="s">
        <v>32</v>
      </c>
      <c r="G14" s="131" t="s">
        <v>31</v>
      </c>
      <c r="H14" s="131" t="s">
        <v>33</v>
      </c>
      <c r="I14" s="131" t="s">
        <v>32</v>
      </c>
      <c r="J14" s="133" t="s">
        <v>31</v>
      </c>
      <c r="K14" s="133" t="s">
        <v>33</v>
      </c>
      <c r="L14" s="133" t="s">
        <v>32</v>
      </c>
      <c r="M14" s="135" t="s">
        <v>31</v>
      </c>
      <c r="N14" s="135" t="s">
        <v>33</v>
      </c>
      <c r="O14" s="126" t="s">
        <v>32</v>
      </c>
      <c r="P14" s="136" t="s">
        <v>34</v>
      </c>
      <c r="Q14" s="137" t="s">
        <v>35</v>
      </c>
      <c r="R14" s="112" t="s">
        <v>36</v>
      </c>
      <c r="S14" s="112" t="s">
        <v>37</v>
      </c>
      <c r="T14" s="112" t="s">
        <v>38</v>
      </c>
      <c r="U14" s="1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r="15">
      <c r="A15" s="9"/>
      <c r="B15" s="1" t="s">
        <v>39</v>
      </c>
      <c r="C15" s="1" t="s">
        <v>40</v>
      </c>
      <c r="D15" s="12" t="s">
        <v>41</v>
      </c>
      <c r="E15" s="138"/>
      <c r="F15" s="129" t="s">
        <v>42</v>
      </c>
      <c r="G15" s="131" t="s">
        <v>41</v>
      </c>
      <c r="H15" s="139"/>
      <c r="I15" s="131" t="s">
        <v>42</v>
      </c>
      <c r="J15" s="133" t="s">
        <v>41</v>
      </c>
      <c r="K15" s="140"/>
      <c r="L15" s="133" t="s">
        <v>42</v>
      </c>
      <c r="M15" s="135" t="s">
        <v>41</v>
      </c>
      <c r="N15" s="144"/>
      <c r="O15" s="19" t="s">
        <v>42</v>
      </c>
      <c r="P15" s="141"/>
      <c r="Q15" s="142"/>
      <c r="R15" s="143" t="s">
        <v>43</v>
      </c>
      <c r="S15" s="143" t="s">
        <v>41</v>
      </c>
      <c r="T15" s="143" t="s">
        <v>42</v>
      </c>
      <c r="U15" s="1"/>
      <c r="W15" s="145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r="16">
      <c r="A16" s="35" t="s">
        <v>44</v>
      </c>
      <c r="B16" s="146">
        <v>1.0</v>
      </c>
      <c r="C16" s="147"/>
      <c r="D16" s="148">
        <f>(D12)*D9</f>
        <v>602250</v>
      </c>
      <c r="E16" s="138">
        <f t="shared" ref="E16:E21" si="4">D16-AE$46*1000000*R16*0.000000001</f>
        <v>450415.5</v>
      </c>
      <c r="F16" s="138">
        <f t="shared" ref="F16:F21" si="5">E16*B16</f>
        <v>450415.5</v>
      </c>
      <c r="G16" s="139">
        <f>(G12)*G9</f>
        <v>554070</v>
      </c>
      <c r="H16" s="139">
        <f t="shared" ref="H16:H21" si="6">G16-AE$45*1000000*R16*0.000000001</f>
        <v>438239.7</v>
      </c>
      <c r="I16" s="139">
        <f t="shared" ref="I16:I21" si="7">H16*B16</f>
        <v>438239.7</v>
      </c>
      <c r="J16" s="140">
        <f>(J12)*J9</f>
        <v>578160</v>
      </c>
      <c r="K16" s="140">
        <f t="shared" ref="K16:K21" si="8">J16-AE$44*1000000*R16*0.000000001</f>
        <v>466186.8</v>
      </c>
      <c r="L16" s="140">
        <f t="shared" ref="L16:L21" si="9">K16*B16</f>
        <v>466186.8</v>
      </c>
      <c r="M16" s="144">
        <f>M9*(M12)</f>
        <v>289080</v>
      </c>
      <c r="N16" s="144">
        <f t="shared" ref="N16:N21" si="10">M16-AE$47*1000000*R16*0.000000001</f>
        <v>277005</v>
      </c>
      <c r="O16" s="144">
        <f t="shared" ref="O16:O21" si="11">N16*B16</f>
        <v>277005</v>
      </c>
      <c r="P16" s="156">
        <f>SUM(D16,G16,J16,M16) + Y41*0.001</f>
        <v>2040570.904</v>
      </c>
      <c r="Q16" s="156">
        <f t="shared" ref="Q16:Q21" si="12">P16*B16</f>
        <v>2040570.904</v>
      </c>
      <c r="R16" s="157">
        <v>690000.0</v>
      </c>
      <c r="S16" s="158">
        <f t="shared" ref="S16:S21" si="13">P16-Y$29*1000*R16*0.000000001</f>
        <v>1695314.776</v>
      </c>
      <c r="T16" s="159">
        <f t="shared" ref="T16:T21" si="14">S16*B16</f>
        <v>1695314.776</v>
      </c>
      <c r="U16" s="6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r="17">
      <c r="A17" s="35" t="s">
        <v>45</v>
      </c>
      <c r="B17" s="146">
        <v>310.0</v>
      </c>
      <c r="C17" s="146">
        <v>2.0</v>
      </c>
      <c r="D17" s="148">
        <f>C$17*D9*B$8*0.000000001</f>
        <v>5.1853725</v>
      </c>
      <c r="E17" s="138">
        <f t="shared" si="4"/>
        <v>-1.8562275</v>
      </c>
      <c r="F17" s="138">
        <f t="shared" si="5"/>
        <v>-575.430525</v>
      </c>
      <c r="G17" s="139">
        <f>C$17*G9*B$8*0.000000001</f>
        <v>5.0521548</v>
      </c>
      <c r="H17" s="139">
        <f t="shared" si="6"/>
        <v>-0.3196852</v>
      </c>
      <c r="I17" s="139">
        <f t="shared" si="7"/>
        <v>-99.102412</v>
      </c>
      <c r="J17" s="140">
        <f>C$17*J9*B$8*0.000000001</f>
        <v>6.6412115</v>
      </c>
      <c r="K17" s="140">
        <f t="shared" si="8"/>
        <v>1.4482515</v>
      </c>
      <c r="L17" s="140">
        <f t="shared" si="9"/>
        <v>448.957965</v>
      </c>
      <c r="M17" s="144">
        <f>C$17*M9*B$8*0.000000001</f>
        <v>2.61292185</v>
      </c>
      <c r="N17" s="144">
        <f t="shared" si="10"/>
        <v>2.05292185</v>
      </c>
      <c r="O17" s="144">
        <f t="shared" si="11"/>
        <v>636.4057735</v>
      </c>
      <c r="P17" s="156">
        <f t="shared" ref="P17:P21" si="15">SUM(D17,G17,J17,M17)</f>
        <v>19.49166065</v>
      </c>
      <c r="Q17" s="156">
        <f t="shared" si="12"/>
        <v>6042.414802</v>
      </c>
      <c r="R17" s="157">
        <v>32.0</v>
      </c>
      <c r="S17" s="158">
        <f t="shared" si="13"/>
        <v>3.47978225</v>
      </c>
      <c r="T17" s="159">
        <f t="shared" si="14"/>
        <v>1078.732498</v>
      </c>
      <c r="U17" s="6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r="18">
      <c r="A18" s="35" t="s">
        <v>46</v>
      </c>
      <c r="B18" s="146">
        <v>3.0</v>
      </c>
      <c r="C18" s="146">
        <v>50.0</v>
      </c>
      <c r="D18" s="148">
        <f>C$18*D9*B$8*0.000000001</f>
        <v>129.6343125</v>
      </c>
      <c r="E18" s="138">
        <f t="shared" si="4"/>
        <v>77.9225625</v>
      </c>
      <c r="F18" s="138">
        <f t="shared" si="5"/>
        <v>233.7676875</v>
      </c>
      <c r="G18" s="139">
        <f>C$18*G9*B$8*0.000000001</f>
        <v>126.30387</v>
      </c>
      <c r="H18" s="139">
        <f t="shared" si="6"/>
        <v>86.85442</v>
      </c>
      <c r="I18" s="139">
        <f t="shared" si="7"/>
        <v>260.56326</v>
      </c>
      <c r="J18" s="140">
        <f>C$18*J9*B$8*0.000000001</f>
        <v>166.0302875</v>
      </c>
      <c r="K18" s="140">
        <f t="shared" si="8"/>
        <v>127.8944875</v>
      </c>
      <c r="L18" s="140">
        <f t="shared" si="9"/>
        <v>383.6834625</v>
      </c>
      <c r="M18" s="144">
        <f>C$18*M9*B$8*0.000000001</f>
        <v>65.32304625</v>
      </c>
      <c r="N18" s="144">
        <f t="shared" si="10"/>
        <v>61.21054625</v>
      </c>
      <c r="O18" s="144">
        <f t="shared" si="11"/>
        <v>183.6316388</v>
      </c>
      <c r="P18" s="156">
        <f t="shared" si="15"/>
        <v>487.2915163</v>
      </c>
      <c r="Q18" s="156">
        <f t="shared" si="12"/>
        <v>1461.874549</v>
      </c>
      <c r="R18" s="157">
        <v>235.0</v>
      </c>
      <c r="S18" s="158">
        <f t="shared" si="13"/>
        <v>369.7042843</v>
      </c>
      <c r="T18" s="159">
        <f t="shared" si="14"/>
        <v>1109.112853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r="19">
      <c r="A19" s="35" t="s">
        <v>47</v>
      </c>
      <c r="B19" s="146">
        <v>8.0</v>
      </c>
      <c r="C19" s="146">
        <v>200.0</v>
      </c>
      <c r="D19" s="148">
        <f>C$19*D9*B$8*0.000000001</f>
        <v>518.53725</v>
      </c>
      <c r="E19" s="138">
        <f t="shared" si="4"/>
        <v>515.6766</v>
      </c>
      <c r="F19" s="138">
        <f t="shared" si="5"/>
        <v>4125.4128</v>
      </c>
      <c r="G19" s="139">
        <f>C$19*G9*B$8*0.000000001</f>
        <v>505.21548</v>
      </c>
      <c r="H19" s="139">
        <f t="shared" si="6"/>
        <v>503.03317</v>
      </c>
      <c r="I19" s="139">
        <f t="shared" si="7"/>
        <v>4024.26536</v>
      </c>
      <c r="J19" s="140">
        <f>C$19*J9*B$8*0.000000001</f>
        <v>664.12115</v>
      </c>
      <c r="K19" s="140">
        <f t="shared" si="8"/>
        <v>662.01151</v>
      </c>
      <c r="L19" s="140">
        <f t="shared" si="9"/>
        <v>5296.09208</v>
      </c>
      <c r="M19" s="144">
        <f>C$19*M9*B$8*0.000000001</f>
        <v>261.292185</v>
      </c>
      <c r="N19" s="144">
        <f t="shared" si="10"/>
        <v>261.064685</v>
      </c>
      <c r="O19" s="144">
        <f t="shared" si="11"/>
        <v>2088.51748</v>
      </c>
      <c r="P19" s="157">
        <f t="shared" si="15"/>
        <v>1949.166065</v>
      </c>
      <c r="Q19" s="156">
        <f t="shared" si="12"/>
        <v>15593.32852</v>
      </c>
      <c r="R19" s="157">
        <v>13.0</v>
      </c>
      <c r="S19" s="158">
        <f t="shared" si="13"/>
        <v>1942.661239</v>
      </c>
      <c r="T19" s="159">
        <f t="shared" si="14"/>
        <v>15541.28992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>
      <c r="A20" s="35" t="s">
        <v>48</v>
      </c>
      <c r="B20" s="146">
        <v>0.0</v>
      </c>
      <c r="C20" s="146">
        <v>4.0</v>
      </c>
      <c r="D20" s="148">
        <f>C$20*D9*B$8*0.000000001</f>
        <v>10.370745</v>
      </c>
      <c r="E20" s="138">
        <f t="shared" si="4"/>
        <v>8.830395</v>
      </c>
      <c r="F20" s="138">
        <f t="shared" si="5"/>
        <v>0</v>
      </c>
      <c r="G20" s="139">
        <f>C$20*G9*B$8*0.000000001</f>
        <v>10.1043096</v>
      </c>
      <c r="H20" s="139">
        <f t="shared" si="6"/>
        <v>8.9292196</v>
      </c>
      <c r="I20" s="139">
        <f t="shared" si="7"/>
        <v>0</v>
      </c>
      <c r="J20" s="140">
        <f>C$20*J9*B$8*0.000000001</f>
        <v>13.282423</v>
      </c>
      <c r="K20" s="140">
        <f t="shared" si="8"/>
        <v>12.146463</v>
      </c>
      <c r="L20" s="140">
        <f t="shared" si="9"/>
        <v>0</v>
      </c>
      <c r="M20" s="144">
        <f>C$20*M9*B$8*0.000000001</f>
        <v>5.2258437</v>
      </c>
      <c r="N20" s="144">
        <f t="shared" si="10"/>
        <v>5.1033437</v>
      </c>
      <c r="O20" s="144">
        <f t="shared" si="11"/>
        <v>0</v>
      </c>
      <c r="P20" s="157">
        <f t="shared" si="15"/>
        <v>38.9833213</v>
      </c>
      <c r="Q20" s="156">
        <f t="shared" si="12"/>
        <v>0</v>
      </c>
      <c r="R20" s="157">
        <v>7.0</v>
      </c>
      <c r="S20" s="158">
        <f t="shared" si="13"/>
        <v>35.4807229</v>
      </c>
      <c r="T20" s="159">
        <f t="shared" si="14"/>
        <v>0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r="21">
      <c r="A21" s="35" t="s">
        <v>49</v>
      </c>
      <c r="B21" s="146">
        <v>11.0</v>
      </c>
      <c r="C21" s="146">
        <v>5.0</v>
      </c>
      <c r="D21" s="148">
        <f>C$21*D9*B$8*0.000000001</f>
        <v>12.96343125</v>
      </c>
      <c r="E21" s="138">
        <f t="shared" si="4"/>
        <v>-132.2695688</v>
      </c>
      <c r="F21" s="138">
        <f t="shared" si="5"/>
        <v>-1454.965256</v>
      </c>
      <c r="G21" s="139">
        <f>C$21*G9*B$8*0.000000001</f>
        <v>12.630387</v>
      </c>
      <c r="H21" s="139">
        <f t="shared" si="6"/>
        <v>-98.163813</v>
      </c>
      <c r="I21" s="139">
        <f t="shared" si="7"/>
        <v>-1079.801943</v>
      </c>
      <c r="J21" s="140">
        <f>C$21*J9*B$8*0.000000001</f>
        <v>16.60302875</v>
      </c>
      <c r="K21" s="140">
        <f t="shared" si="8"/>
        <v>-90.50177125</v>
      </c>
      <c r="L21" s="140">
        <f t="shared" si="9"/>
        <v>-995.5194838</v>
      </c>
      <c r="M21" s="144">
        <f>C$21*M9*B$8*0.000000001</f>
        <v>6.532304625</v>
      </c>
      <c r="N21" s="144">
        <f t="shared" si="10"/>
        <v>-5.017695375</v>
      </c>
      <c r="O21" s="144">
        <f t="shared" si="11"/>
        <v>-55.19464913</v>
      </c>
      <c r="P21" s="157">
        <f t="shared" si="15"/>
        <v>48.72915163</v>
      </c>
      <c r="Q21" s="156">
        <f t="shared" si="12"/>
        <v>536.0206679</v>
      </c>
      <c r="R21" s="157">
        <v>660.0</v>
      </c>
      <c r="S21" s="158">
        <f t="shared" si="13"/>
        <v>-281.5158404</v>
      </c>
      <c r="T21" s="159">
        <f t="shared" si="14"/>
        <v>-3096.674244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r="22">
      <c r="A22" s="160" t="s">
        <v>50</v>
      </c>
      <c r="B22" s="161"/>
      <c r="C22" s="162"/>
      <c r="D22" s="163">
        <f>SUM(D16:D21)</f>
        <v>602926.6911</v>
      </c>
      <c r="E22" s="164">
        <f>D22-Y$27*1000*R22*0.000000001</f>
        <v>602926.6911</v>
      </c>
      <c r="F22" s="164">
        <f>SUM(F16:F21)</f>
        <v>452744.2847</v>
      </c>
      <c r="G22" s="164">
        <f>SUM(G15:G21)</f>
        <v>554729.3062</v>
      </c>
      <c r="H22" s="164">
        <f>SUM(H16:H21)</f>
        <v>438740.0333</v>
      </c>
      <c r="I22" s="164">
        <f>SUM(I15:I21)</f>
        <v>441345.6243</v>
      </c>
      <c r="J22" s="164">
        <f t="shared" ref="J22:O22" si="16">SUM(J16:J21)</f>
        <v>579026.6781</v>
      </c>
      <c r="K22" s="164">
        <f t="shared" si="16"/>
        <v>466899.7989</v>
      </c>
      <c r="L22" s="164">
        <f t="shared" si="16"/>
        <v>471320.014</v>
      </c>
      <c r="M22" s="164">
        <f t="shared" si="16"/>
        <v>289420.9863</v>
      </c>
      <c r="N22" s="164">
        <f t="shared" si="16"/>
        <v>277329.4138</v>
      </c>
      <c r="O22" s="164">
        <f t="shared" si="16"/>
        <v>279858.3602</v>
      </c>
      <c r="P22" s="165"/>
      <c r="Q22" s="164">
        <f>SUM(Q16:Q21)</f>
        <v>2064204.542</v>
      </c>
      <c r="R22" s="166"/>
      <c r="S22" s="167"/>
      <c r="T22" s="168">
        <f>SUM(T16:T21)</f>
        <v>1709947.237</v>
      </c>
      <c r="U22" s="1" t="s">
        <v>51</v>
      </c>
    </row>
    <row r="23">
      <c r="A23" s="169" t="s">
        <v>52</v>
      </c>
      <c r="B23" s="170"/>
      <c r="C23" s="171"/>
      <c r="D23" s="171"/>
      <c r="E23" s="171"/>
      <c r="F23" s="171">
        <f>F22/(AE46*0.85)/1000</f>
        <v>2.420542308</v>
      </c>
      <c r="G23" s="171"/>
      <c r="H23" s="171"/>
      <c r="I23" s="171">
        <f>I22/(AE45*0.85)/1000</f>
        <v>3.093049063</v>
      </c>
      <c r="J23" s="171"/>
      <c r="K23" s="171"/>
      <c r="L23" s="171">
        <f>L22/(AE44*0.85)/1000</f>
        <v>3.416897548</v>
      </c>
      <c r="M23" s="171"/>
      <c r="N23" s="171"/>
      <c r="O23" s="171">
        <f>O22/(AE47*0.85)/1000</f>
        <v>18.81400741</v>
      </c>
      <c r="P23" s="171"/>
      <c r="Q23" s="173"/>
      <c r="R23" s="171"/>
      <c r="S23" s="169" t="s">
        <v>53</v>
      </c>
      <c r="T23" s="173">
        <f>T22/Y$29</f>
        <v>3.417357428</v>
      </c>
      <c r="U23" s="1" t="s">
        <v>52</v>
      </c>
    </row>
    <row r="24">
      <c r="A24" s="46"/>
      <c r="B24" s="46"/>
      <c r="H24" s="1"/>
      <c r="I24" s="1"/>
      <c r="J24" s="1"/>
      <c r="N24" s="1"/>
      <c r="O24" s="1"/>
      <c r="Q24" s="9"/>
      <c r="S24" s="1" t="s">
        <v>54</v>
      </c>
      <c r="T24" s="97">
        <f>Q22/Y$29</f>
        <v>4.125346428</v>
      </c>
      <c r="U24" s="1" t="s">
        <v>52</v>
      </c>
    </row>
    <row r="25">
      <c r="A25" s="9"/>
      <c r="H25" s="46" t="s">
        <v>55</v>
      </c>
      <c r="I25" s="97">
        <f>AVERAGE(F23,I23,L23)</f>
        <v>2.97682964</v>
      </c>
      <c r="J25" s="174" t="s">
        <v>56</v>
      </c>
    </row>
    <row r="26">
      <c r="A26" s="9"/>
      <c r="W26" s="175" t="s">
        <v>57</v>
      </c>
      <c r="X26" s="7"/>
      <c r="Y26" s="7"/>
      <c r="Z26" s="4"/>
    </row>
    <row r="27">
      <c r="A27" s="9"/>
      <c r="W27" s="11" t="s">
        <v>58</v>
      </c>
      <c r="X27" s="176"/>
      <c r="Y27" s="156">
        <f>84*24*365*0.8</f>
        <v>588672</v>
      </c>
      <c r="Z27" s="157" t="s">
        <v>59</v>
      </c>
      <c r="AD27" s="1"/>
    </row>
    <row r="28">
      <c r="A28" s="9"/>
      <c r="W28" s="11" t="s">
        <v>60</v>
      </c>
      <c r="X28" s="127"/>
      <c r="Y28" s="156">
        <f>Y27*0.15</f>
        <v>88300.8</v>
      </c>
      <c r="Z28" s="157" t="s">
        <v>59</v>
      </c>
      <c r="AD28" s="1"/>
    </row>
    <row r="29">
      <c r="A29" s="9"/>
      <c r="W29" s="11" t="s">
        <v>61</v>
      </c>
      <c r="X29" s="127"/>
      <c r="Y29" s="156">
        <f>Y27-Y28</f>
        <v>500371.2</v>
      </c>
      <c r="Z29" s="157" t="s">
        <v>59</v>
      </c>
      <c r="AD29" s="1"/>
    </row>
    <row r="30">
      <c r="A30" s="9"/>
      <c r="W30" s="11" t="s">
        <v>62</v>
      </c>
      <c r="X30" s="176"/>
      <c r="Y30" s="156">
        <f>N7+K7+H7+E7</f>
        <v>735840</v>
      </c>
      <c r="Z30" s="157" t="s">
        <v>63</v>
      </c>
      <c r="AD30" s="1"/>
    </row>
    <row r="31">
      <c r="A31" s="9"/>
      <c r="W31" s="21" t="s">
        <v>65</v>
      </c>
      <c r="X31" s="59"/>
      <c r="Y31" s="156">
        <f>D9+G9+J9+M9</f>
        <v>1771969.15</v>
      </c>
      <c r="Z31" s="157" t="s">
        <v>63</v>
      </c>
    </row>
    <row r="32">
      <c r="A32" s="9"/>
      <c r="W32" s="112" t="s">
        <v>66</v>
      </c>
      <c r="X32" s="156"/>
      <c r="Y32" s="156">
        <f>T22</f>
        <v>1709947.237</v>
      </c>
      <c r="Z32" s="157" t="s">
        <v>67</v>
      </c>
    </row>
    <row r="33">
      <c r="A33" s="9"/>
      <c r="W33" s="112" t="s">
        <v>68</v>
      </c>
      <c r="X33" s="156"/>
      <c r="Y33" s="156">
        <f>Y32/Y29</f>
        <v>3.417357428</v>
      </c>
      <c r="Z33" s="157" t="s">
        <v>52</v>
      </c>
    </row>
    <row r="34">
      <c r="A34" s="9"/>
      <c r="W34" s="34"/>
      <c r="X34" s="34"/>
      <c r="Y34" s="34"/>
      <c r="Z34" s="34"/>
    </row>
    <row r="35">
      <c r="A35" s="9"/>
      <c r="W35" s="175" t="s">
        <v>70</v>
      </c>
      <c r="X35" s="7"/>
      <c r="Y35" s="7"/>
      <c r="Z35" s="4"/>
    </row>
    <row r="36">
      <c r="A36" s="9"/>
      <c r="W36" s="177"/>
      <c r="X36" s="1" t="s">
        <v>71</v>
      </c>
      <c r="Y36" s="9"/>
      <c r="Z36" s="178"/>
    </row>
    <row r="37">
      <c r="A37" s="9"/>
      <c r="W37" s="177"/>
      <c r="X37" s="1" t="s">
        <v>72</v>
      </c>
      <c r="Y37" s="9"/>
      <c r="Z37" s="178"/>
    </row>
    <row r="38">
      <c r="A38" s="9"/>
      <c r="W38" s="177"/>
      <c r="X38" s="1" t="s">
        <v>73</v>
      </c>
      <c r="Y38" s="1" t="s">
        <v>74</v>
      </c>
      <c r="Z38" s="178"/>
    </row>
    <row r="39">
      <c r="A39" s="9"/>
      <c r="W39" s="180"/>
      <c r="X39" s="97">
        <f>3.2*2</f>
        <v>6.4</v>
      </c>
      <c r="Y39" s="97">
        <f>3.2*4</f>
        <v>12.8</v>
      </c>
      <c r="Z39" s="176"/>
    </row>
    <row r="40">
      <c r="A40" s="9"/>
      <c r="W40" s="181" t="s">
        <v>77</v>
      </c>
      <c r="X40" s="59">
        <f>X39*Y31</f>
        <v>11340602.56</v>
      </c>
      <c r="Y40" s="59">
        <f>Y39*Y31</f>
        <v>22681205.12</v>
      </c>
      <c r="Z40" s="182" t="s">
        <v>78</v>
      </c>
    </row>
    <row r="41">
      <c r="A41" s="9"/>
      <c r="W41" s="181" t="s">
        <v>79</v>
      </c>
      <c r="X41" s="59"/>
      <c r="Y41" s="59">
        <f>AVERAGE(X40,Y40)</f>
        <v>17010903.84</v>
      </c>
      <c r="Z41" s="183" t="s">
        <v>78</v>
      </c>
    </row>
    <row r="42">
      <c r="A42" s="9"/>
    </row>
    <row r="43">
      <c r="A43" s="9"/>
      <c r="AB43" s="185" t="s">
        <v>80</v>
      </c>
      <c r="AC43" s="185" t="s">
        <v>81</v>
      </c>
      <c r="AD43" s="185" t="s">
        <v>82</v>
      </c>
      <c r="AE43" s="185" t="s">
        <v>83</v>
      </c>
      <c r="AF43" s="185" t="s">
        <v>84</v>
      </c>
      <c r="AG43" s="185" t="s">
        <v>85</v>
      </c>
      <c r="AH43" s="185" t="s">
        <v>86</v>
      </c>
      <c r="AI43" s="186" t="s">
        <v>87</v>
      </c>
      <c r="AJ43" s="92"/>
    </row>
    <row r="44">
      <c r="A44" s="9"/>
      <c r="V44" s="34"/>
      <c r="W44" s="34"/>
      <c r="X44" s="34"/>
      <c r="Y44" s="34"/>
      <c r="Z44" s="34"/>
      <c r="AA44" s="34"/>
      <c r="AB44" s="187" t="s">
        <v>3</v>
      </c>
      <c r="AC44" s="187" t="s">
        <v>88</v>
      </c>
      <c r="AD44" s="187">
        <v>137.94</v>
      </c>
      <c r="AE44" s="187">
        <v>162.28</v>
      </c>
      <c r="AF44" s="187">
        <v>24.0</v>
      </c>
      <c r="AG44" s="187">
        <v>77.2</v>
      </c>
      <c r="AH44" s="187" t="s">
        <v>89</v>
      </c>
      <c r="AI44" s="156">
        <f t="shared" ref="AI44:AI47" si="17">AF44*24*365*0.8*0.85/1000</f>
        <v>142.9632</v>
      </c>
    </row>
    <row r="45">
      <c r="A45" s="9"/>
      <c r="AB45" s="187" t="s">
        <v>2</v>
      </c>
      <c r="AC45" s="187" t="s">
        <v>90</v>
      </c>
      <c r="AD45" s="187">
        <v>109.37</v>
      </c>
      <c r="AE45" s="187">
        <v>167.87</v>
      </c>
      <c r="AF45" s="187">
        <v>23.0</v>
      </c>
      <c r="AG45" s="187">
        <v>83.3</v>
      </c>
      <c r="AH45" s="187" t="s">
        <v>91</v>
      </c>
      <c r="AI45" s="156">
        <f t="shared" si="17"/>
        <v>137.0064</v>
      </c>
    </row>
    <row r="46">
      <c r="A46" s="9"/>
      <c r="AB46" s="188" t="s">
        <v>1</v>
      </c>
      <c r="AC46" s="188" t="s">
        <v>92</v>
      </c>
      <c r="AD46" s="188">
        <v>33.31</v>
      </c>
      <c r="AE46" s="188">
        <v>220.05</v>
      </c>
      <c r="AF46" s="188">
        <v>25.0</v>
      </c>
      <c r="AG46" s="188">
        <f>AE46*1000/(25*24*365)*100</f>
        <v>100.4794521</v>
      </c>
      <c r="AH46" s="188" t="s">
        <v>93</v>
      </c>
      <c r="AI46" s="156">
        <f t="shared" si="17"/>
        <v>148.92</v>
      </c>
    </row>
    <row r="47">
      <c r="A47" s="9"/>
      <c r="AB47" s="188" t="s">
        <v>4</v>
      </c>
      <c r="AC47" s="188" t="s">
        <v>94</v>
      </c>
      <c r="AD47" s="188">
        <v>4.773</v>
      </c>
      <c r="AE47" s="188">
        <v>17.5</v>
      </c>
      <c r="AF47" s="188">
        <v>12.0</v>
      </c>
      <c r="AG47" s="188">
        <v>16.6</v>
      </c>
      <c r="AH47" s="188" t="s">
        <v>93</v>
      </c>
      <c r="AI47" s="156">
        <f t="shared" si="17"/>
        <v>71.4816</v>
      </c>
    </row>
    <row r="48">
      <c r="A48" s="9"/>
      <c r="AE48" s="97">
        <f>SUM(AE44:AE47)</f>
        <v>567.7</v>
      </c>
      <c r="AI48" s="97">
        <f>SUM(AI44:AI47)</f>
        <v>500.3712</v>
      </c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</sheetData>
  <mergeCells count="9">
    <mergeCell ref="W26:Z26"/>
    <mergeCell ref="J25:L25"/>
    <mergeCell ref="D1:F1"/>
    <mergeCell ref="G1:I1"/>
    <mergeCell ref="J1:L1"/>
    <mergeCell ref="M1:O1"/>
    <mergeCell ref="P14:P15"/>
    <mergeCell ref="Q14:Q15"/>
    <mergeCell ref="W35:Z35"/>
  </mergeCells>
  <drawing r:id="rId1"/>
</worksheet>
</file>